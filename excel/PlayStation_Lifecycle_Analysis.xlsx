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xr:revisionPtr revIDLastSave="0" documentId="8_{96A1605F-1833-4822-88DA-B5E49D3E5470}" xr6:coauthVersionLast="47" xr6:coauthVersionMax="47" xr10:uidLastSave="{00000000-0000-0000-0000-000000000000}"/>
  <bookViews>
    <workbookView xWindow="240" yWindow="105" windowWidth="14805" windowHeight="8010" firstSheet="8" activeTab="5" xr2:uid="{00000000-000D-0000-FFFF-FFFF00000000}"/>
  </bookViews>
  <sheets>
    <sheet name="Dashboard" sheetId="5" r:id="rId1"/>
    <sheet name="Pivot Data" sheetId="9" state="hidden" r:id="rId2"/>
    <sheet name="Console History" sheetId="2" r:id="rId3"/>
    <sheet name="Pricing Analysis" sheetId="3" r:id="rId4"/>
    <sheet name="PS5 Quarterly Sales" sheetId="4" r:id="rId5"/>
    <sheet name="PS6 Scenario" sheetId="8" r:id="rId6"/>
    <sheet name="KPI Data" sheetId="6" state="hidden" r:id="rId7"/>
    <sheet name="FYQ3 PivotTable" sheetId="7" state="hidden" r:id="rId8"/>
    <sheet name="Sources" sheetId="10" r:id="rId9"/>
  </sheets>
  <definedNames>
    <definedName name="Slicer_Fiscal_Quarter">#N/A</definedName>
    <definedName name="Slicer_Fiscal_Quarter1">#N/A</definedName>
    <definedName name="Slicer_Fiscal_Year">#N/A</definedName>
    <definedName name="Slicer_Fiscal_Year1">#N/A</definedName>
  </definedNames>
  <calcPr calcId="191028"/>
  <pivotCaches>
    <pivotCache cacheId="6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8" l="1"/>
  <c r="D3" i="8"/>
  <c r="B4" i="8"/>
  <c r="D4" i="8"/>
  <c r="D5" i="8"/>
  <c r="B2" i="6"/>
  <c r="B8" i="6"/>
  <c r="B9" i="6" s="1"/>
  <c r="B7" i="6"/>
  <c r="B5" i="6"/>
  <c r="B4" i="6"/>
  <c r="B3" i="6"/>
  <c r="H3" i="2"/>
  <c r="H4" i="2"/>
  <c r="H5" i="2"/>
  <c r="H2" i="2"/>
  <c r="I2" i="2" l="1"/>
  <c r="I3" i="2" s="1"/>
  <c r="I4" i="2" s="1"/>
  <c r="I5" i="2" s="1"/>
  <c r="B6" i="6"/>
</calcChain>
</file>

<file path=xl/sharedStrings.xml><?xml version="1.0" encoding="utf-8"?>
<sst xmlns="http://schemas.openxmlformats.org/spreadsheetml/2006/main" count="156" uniqueCount="89">
  <si>
    <t>Fiscal Year</t>
  </si>
  <si>
    <t>(All)</t>
  </si>
  <si>
    <t>Period End</t>
  </si>
  <si>
    <t>Sum of YoY Growth(%)</t>
  </si>
  <si>
    <t>Fiscal Quarter</t>
  </si>
  <si>
    <t>Sum of Quarterly Sales(M)</t>
  </si>
  <si>
    <t>Grand Total</t>
  </si>
  <si>
    <t>Console</t>
  </si>
  <si>
    <t>Release Date</t>
  </si>
  <si>
    <t>Launch Price (USD)</t>
  </si>
  <si>
    <t>Lifetime Sales(M)</t>
  </si>
  <si>
    <t>Next Console</t>
  </si>
  <si>
    <t>Next Release Date</t>
  </si>
  <si>
    <t xml:space="preserve">Lifecycle </t>
  </si>
  <si>
    <t>Lifecycle Years</t>
  </si>
  <si>
    <t>Average Lifecycle Years</t>
  </si>
  <si>
    <t>PS1</t>
  </si>
  <si>
    <t>PS2</t>
  </si>
  <si>
    <t>PS1 -&gt; PS2</t>
  </si>
  <si>
    <t>PS3</t>
  </si>
  <si>
    <t>PS2 -&gt; PS3</t>
  </si>
  <si>
    <t>PS4</t>
  </si>
  <si>
    <t>PS3 -&gt; PS4</t>
  </si>
  <si>
    <t>PS5</t>
  </si>
  <si>
    <t>PS4 -&gt; PS5</t>
  </si>
  <si>
    <t>N/A</t>
  </si>
  <si>
    <t>Launch Year</t>
  </si>
  <si>
    <t>Launch Price</t>
  </si>
  <si>
    <t>Annual CPI</t>
  </si>
  <si>
    <t>Real Price(2025)</t>
  </si>
  <si>
    <t>Real Price Change(%)</t>
  </si>
  <si>
    <t>=INDEX('Pricing Analysis'!E2:E6, MATCH("PS5"</t>
  </si>
  <si>
    <t>Units Sold</t>
  </si>
  <si>
    <t>Quarterly Sales(M)</t>
  </si>
  <si>
    <t>Cumulative Units Sold</t>
  </si>
  <si>
    <t>Cumulative Sales(M)</t>
  </si>
  <si>
    <t>QoQ Growth(%)</t>
  </si>
  <si>
    <t>YoY Growth(%)</t>
  </si>
  <si>
    <t>Performance Category</t>
  </si>
  <si>
    <t>NULL</t>
  </si>
  <si>
    <t>No Prior-Year Comparison</t>
  </si>
  <si>
    <t>Strong Decline</t>
  </si>
  <si>
    <t>Moderate Growth</t>
  </si>
  <si>
    <t>Flat</t>
  </si>
  <si>
    <t>Strong Growth</t>
  </si>
  <si>
    <t>PS6 Launch Scenario Analysis</t>
  </si>
  <si>
    <t>Scenario</t>
  </si>
  <si>
    <t>Length</t>
  </si>
  <si>
    <t>PS5 Launch Date</t>
  </si>
  <si>
    <t>Assumption Months</t>
  </si>
  <si>
    <t>Assumption Date</t>
  </si>
  <si>
    <t>Note</t>
  </si>
  <si>
    <t>Average Cycle</t>
  </si>
  <si>
    <t>~February 2027</t>
  </si>
  <si>
    <t>All completed cycles</t>
  </si>
  <si>
    <t>Recent Cycle</t>
  </si>
  <si>
    <t>~October 2027</t>
  </si>
  <si>
    <t>Recent completed cycle</t>
  </si>
  <si>
    <t>Assumption Cycle</t>
  </si>
  <si>
    <t>~November 2028</t>
  </si>
  <si>
    <t>Scenario cycle</t>
  </si>
  <si>
    <t>Metric</t>
  </si>
  <si>
    <t>Value</t>
  </si>
  <si>
    <t>Total PS5 Units</t>
  </si>
  <si>
    <t>Peak Quarter Units</t>
  </si>
  <si>
    <t>Peak Fiscal Year</t>
  </si>
  <si>
    <t>Peak Quarter</t>
  </si>
  <si>
    <t>Average Lifecycle</t>
  </si>
  <si>
    <t>PS5 Real Price</t>
  </si>
  <si>
    <t>Peak Console Sales</t>
  </si>
  <si>
    <t>Peak Console</t>
  </si>
  <si>
    <t>Source</t>
  </si>
  <si>
    <t>Data</t>
  </si>
  <si>
    <t>URL</t>
  </si>
  <si>
    <t>PlayStation History</t>
  </si>
  <si>
    <t>Console history/release information</t>
  </si>
  <si>
    <t>https://www.playstation.com/en-us/playstation-history/1994-ps-one/</t>
  </si>
  <si>
    <t>Sony Investor Relations</t>
  </si>
  <si>
    <t>Sony financial reporting and supporting business data</t>
  </si>
  <si>
    <t>https://www.sony.com/en/SonyInfo/IR/</t>
  </si>
  <si>
    <t>Sony Interactive Entertainment Business Data &amp; Sales</t>
  </si>
  <si>
    <t>PlayStation console/business figures</t>
  </si>
  <si>
    <t>https://sonyinteractive.com/en/our-company/business-data-sales/</t>
  </si>
  <si>
    <t>U.S. Bureau of Labor Statistics CPI</t>
  </si>
  <si>
    <t>CPI methodology and inflation data</t>
  </si>
  <si>
    <t>https://www.bls.gov/cpi/</t>
  </si>
  <si>
    <t>BLS CPI Data</t>
  </si>
  <si>
    <t>CPI access data; series id:  CUUR0000SA0; 1995-2025</t>
  </si>
  <si>
    <t>https://data.bls.gov/pdq/SurveyOutputServlet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</si>
</sst>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0.0&quot;%&quot;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8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64" fontId="0" fillId="3" borderId="0" xfId="0" applyNumberFormat="1" applyFill="1"/>
    <xf numFmtId="2" fontId="0" fillId="0" borderId="0" xfId="0" applyNumberFormat="1"/>
    <xf numFmtId="0" fontId="0" fillId="3" borderId="0" xfId="0" applyNumberFormat="1" applyFill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3" borderId="0" xfId="0" applyNumberFormat="1" applyFill="1"/>
    <xf numFmtId="0" fontId="1" fillId="3" borderId="0" xfId="0" applyFont="1" applyFill="1" applyAlignment="1">
      <alignment horizontal="center"/>
    </xf>
    <xf numFmtId="2" fontId="0" fillId="3" borderId="0" xfId="0" applyNumberFormat="1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5" fontId="0" fillId="3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2" fillId="3" borderId="0" xfId="0" applyFont="1" applyFill="1" applyAlignment="1">
      <alignment horizontal="center" vertical="center"/>
    </xf>
    <xf numFmtId="0" fontId="4" fillId="0" borderId="0" xfId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2">
    <dxf>
      <numFmt numFmtId="165" formatCode="0.0&quot;%&quot;"/>
    </dxf>
    <dxf>
      <numFmt numFmtId="165" formatCode="0.0&quot;%&quot;"/>
    </dxf>
  </dxfs>
  <tableStyles count="0" defaultTableStyle="TableStyleMedium2" defaultPivotStyle="PivotStyleMedium9"/>
  <colors>
    <mruColors>
      <color rgb="FF1C64EB"/>
      <color rgb="FF32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Nominal vs. Real Launch Price </a:t>
            </a:r>
          </a:p>
        </c:rich>
      </c:tx>
      <c:layout>
        <c:manualLayout>
          <c:xMode val="edge"/>
          <c:yMode val="edge"/>
          <c:x val="0.12273052169848631"/>
          <c:y val="0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{"Nominal Launch Price"}</c:f>
              <c:strCache>
                <c:ptCount val="1"/>
                <c:pt idx="0">
                  <c:v>Nominal Launch Price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'Pricing Analysis'!$A$2:$A$6</c:f>
              <c:strCache>
                <c:ptCount val="5"/>
                <c:pt idx="0">
                  <c:v>PS1</c:v>
                </c:pt>
                <c:pt idx="1">
                  <c:v>PS2</c:v>
                </c:pt>
                <c:pt idx="2">
                  <c:v>PS3</c:v>
                </c:pt>
                <c:pt idx="3">
                  <c:v>PS4</c:v>
                </c:pt>
                <c:pt idx="4">
                  <c:v>PS5</c:v>
                </c:pt>
              </c:strCache>
            </c:strRef>
          </c:cat>
          <c:val>
            <c:numRef>
              <c:f>'Pricing Analysis'!$C$2:$C$6</c:f>
              <c:numCache>
                <c:formatCode>"$"#,##0.00</c:formatCode>
                <c:ptCount val="5"/>
                <c:pt idx="0">
                  <c:v>299</c:v>
                </c:pt>
                <c:pt idx="1">
                  <c:v>299.99</c:v>
                </c:pt>
                <c:pt idx="2">
                  <c:v>499.99</c:v>
                </c:pt>
                <c:pt idx="3">
                  <c:v>399.99</c:v>
                </c:pt>
                <c:pt idx="4">
                  <c:v>499.99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116-BC95-11C690BA9C01}"/>
            </c:ext>
          </c:extLst>
        </c:ser>
        <c:ser>
          <c:idx val="1"/>
          <c:order val="1"/>
          <c:tx>
            <c:strRef>
              <c:f>'Pricing Analysis'!$E$1</c:f>
              <c:strCache>
                <c:ptCount val="1"/>
                <c:pt idx="0">
                  <c:v>Real Price(2025)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'Pricing Analysis'!$A$2:$A$6</c:f>
              <c:strCache>
                <c:ptCount val="5"/>
                <c:pt idx="0">
                  <c:v>PS1</c:v>
                </c:pt>
                <c:pt idx="1">
                  <c:v>PS2</c:v>
                </c:pt>
                <c:pt idx="2">
                  <c:v>PS3</c:v>
                </c:pt>
                <c:pt idx="3">
                  <c:v>PS4</c:v>
                </c:pt>
                <c:pt idx="4">
                  <c:v>PS5</c:v>
                </c:pt>
              </c:strCache>
            </c:strRef>
          </c:cat>
          <c:val>
            <c:numRef>
              <c:f>'Pricing Analysis'!$E$2:$E$6</c:f>
              <c:numCache>
                <c:formatCode>"$"#,##0.00</c:formatCode>
                <c:ptCount val="5"/>
                <c:pt idx="0">
                  <c:v>631.70000000000005</c:v>
                </c:pt>
                <c:pt idx="1">
                  <c:v>560.86</c:v>
                </c:pt>
                <c:pt idx="2">
                  <c:v>798.49</c:v>
                </c:pt>
                <c:pt idx="3">
                  <c:v>552.78</c:v>
                </c:pt>
                <c:pt idx="4">
                  <c:v>621.95000000000005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9-4116-BC95-11C690BA9C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926792"/>
        <c:axId val="151969800"/>
      </c:barChart>
      <c:catAx>
        <c:axId val="15192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9800"/>
        <c:crosses val="autoZero"/>
        <c:auto val="1"/>
        <c:lblAlgn val="ctr"/>
        <c:lblOffset val="100"/>
        <c:noMultiLvlLbl val="0"/>
      </c:catAx>
      <c:valAx>
        <c:axId val="151969800"/>
        <c:scaling>
          <c:orientation val="minMax"/>
          <c:max val="800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679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Between Each Consoles</a:t>
            </a:r>
          </a:p>
        </c:rich>
      </c:tx>
      <c:layout>
        <c:manualLayout>
          <c:xMode val="edge"/>
          <c:yMode val="edge"/>
          <c:x val="0.1993040293040293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'Console History'!$H$1</c:f>
              <c:strCache>
                <c:ptCount val="1"/>
                <c:pt idx="0">
                  <c:v>Lifecycle Years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'Console History'!$G$2:$G$5</c:f>
              <c:strCache>
                <c:ptCount val="4"/>
                <c:pt idx="0">
                  <c:v>PS1 -&gt; PS2</c:v>
                </c:pt>
                <c:pt idx="1">
                  <c:v>PS2 -&gt; PS3</c:v>
                </c:pt>
                <c:pt idx="2">
                  <c:v>PS3 -&gt; PS4</c:v>
                </c:pt>
                <c:pt idx="3">
                  <c:v>PS4 -&gt; PS5</c:v>
                </c:pt>
              </c:strCache>
            </c:strRef>
          </c:cat>
          <c:val>
            <c:numRef>
              <c:f>'Console History'!$H$2:$H$5</c:f>
              <c:numCache>
                <c:formatCode>0.00</c:formatCode>
                <c:ptCount val="4"/>
                <c:pt idx="0">
                  <c:v>5.1305555555555555</c:v>
                </c:pt>
                <c:pt idx="1">
                  <c:v>6.0583333333333336</c:v>
                </c:pt>
                <c:pt idx="2">
                  <c:v>6.9944444444444445</c:v>
                </c:pt>
                <c:pt idx="3">
                  <c:v>6.9916666666666663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7-49E6-B80D-5C1230C865B9}"/>
            </c:ext>
          </c:extLst>
        </c:ser>
        <c:ser>
          <c:idx val="1"/>
          <c:order val="1"/>
          <c:tx>
            <c:strRef>
              <c:f>{"Average Lifecycle Years"}</c:f>
              <c:strCache>
                <c:ptCount val="1"/>
                <c:pt idx="0">
                  <c:v>Average Lifecycle Years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'Console History'!$G$2:$G$5</c:f>
              <c:strCache>
                <c:ptCount val="4"/>
                <c:pt idx="0">
                  <c:v>PS1 -&gt; PS2</c:v>
                </c:pt>
                <c:pt idx="1">
                  <c:v>PS2 -&gt; PS3</c:v>
                </c:pt>
                <c:pt idx="2">
                  <c:v>PS3 -&gt; PS4</c:v>
                </c:pt>
                <c:pt idx="3">
                  <c:v>PS4 -&gt; PS5</c:v>
                </c:pt>
              </c:strCache>
            </c:strRef>
          </c:cat>
          <c:val>
            <c:numRef>
              <c:f>'Console History'!I2:I5</c:f>
              <c:numCache>
                <c:formatCode>0.00</c:formatCode>
                <c:ptCount val="4"/>
                <c:pt idx="0">
                  <c:v>6.2937500000000002</c:v>
                </c:pt>
                <c:pt idx="1">
                  <c:v>6.2937500000000002</c:v>
                </c:pt>
                <c:pt idx="2">
                  <c:v>6.2937500000000002</c:v>
                </c:pt>
                <c:pt idx="3">
                  <c:v>6.2937500000000002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7-49E6-B80D-5C1230C865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16032775"/>
        <c:axId val="147464200"/>
      </c:barChart>
      <c:catAx>
        <c:axId val="2016032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4200"/>
        <c:crosses val="autoZero"/>
        <c:auto val="1"/>
        <c:lblAlgn val="ctr"/>
        <c:lblOffset val="100"/>
        <c:noMultiLvlLbl val="0"/>
      </c:catAx>
      <c:valAx>
        <c:axId val="147464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3277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Quarterly &amp; Cumulative Sales</a:t>
            </a:r>
          </a:p>
        </c:rich>
      </c:tx>
      <c:layout>
        <c:manualLayout>
          <c:xMode val="edge"/>
          <c:yMode val="edge"/>
          <c:x val="0.1554766962031653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'PS5 Quarterly Sales'!$E$1</c:f>
              <c:strCache>
                <c:ptCount val="1"/>
                <c:pt idx="0">
                  <c:v>Quarterly Sales(M)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'PS5 Quarterly Sales'!$C$2:$C$24</c:f>
              <c:numCache>
                <c:formatCode>m/d/yyyy</c:formatCode>
                <c:ptCount val="23"/>
                <c:pt idx="0">
                  <c:v>44196</c:v>
                </c:pt>
                <c:pt idx="1">
                  <c:v>44286</c:v>
                </c:pt>
                <c:pt idx="2">
                  <c:v>44377</c:v>
                </c:pt>
                <c:pt idx="3">
                  <c:v>44469</c:v>
                </c:pt>
                <c:pt idx="4">
                  <c:v>44561</c:v>
                </c:pt>
                <c:pt idx="5">
                  <c:v>44651</c:v>
                </c:pt>
                <c:pt idx="6">
                  <c:v>44742</c:v>
                </c:pt>
                <c:pt idx="7">
                  <c:v>44834</c:v>
                </c:pt>
                <c:pt idx="8">
                  <c:v>44926</c:v>
                </c:pt>
                <c:pt idx="9">
                  <c:v>45016</c:v>
                </c:pt>
                <c:pt idx="10">
                  <c:v>45107</c:v>
                </c:pt>
                <c:pt idx="11">
                  <c:v>45199</c:v>
                </c:pt>
                <c:pt idx="12">
                  <c:v>45291</c:v>
                </c:pt>
                <c:pt idx="13">
                  <c:v>45382</c:v>
                </c:pt>
                <c:pt idx="14">
                  <c:v>45473</c:v>
                </c:pt>
                <c:pt idx="15">
                  <c:v>45565</c:v>
                </c:pt>
                <c:pt idx="16">
                  <c:v>45657</c:v>
                </c:pt>
                <c:pt idx="17">
                  <c:v>45747</c:v>
                </c:pt>
                <c:pt idx="18">
                  <c:v>45838</c:v>
                </c:pt>
                <c:pt idx="19">
                  <c:v>45930</c:v>
                </c:pt>
                <c:pt idx="20">
                  <c:v>46022</c:v>
                </c:pt>
                <c:pt idx="21">
                  <c:v>46112</c:v>
                </c:pt>
                <c:pt idx="22">
                  <c:v>46203</c:v>
                </c:pt>
              </c:numCache>
            </c:numRef>
          </c:cat>
          <c:val>
            <c:numRef>
              <c:f>'PS5 Quarterly Sales'!$E$2:$E$24</c:f>
              <c:numCache>
                <c:formatCode>General</c:formatCode>
                <c:ptCount val="23"/>
                <c:pt idx="0">
                  <c:v>4.5</c:v>
                </c:pt>
                <c:pt idx="1">
                  <c:v>3.3</c:v>
                </c:pt>
                <c:pt idx="2">
                  <c:v>2.2999999999999998</c:v>
                </c:pt>
                <c:pt idx="3">
                  <c:v>3.3</c:v>
                </c:pt>
                <c:pt idx="4">
                  <c:v>3.9</c:v>
                </c:pt>
                <c:pt idx="5">
                  <c:v>2</c:v>
                </c:pt>
                <c:pt idx="6">
                  <c:v>2.4</c:v>
                </c:pt>
                <c:pt idx="7">
                  <c:v>3.3</c:v>
                </c:pt>
                <c:pt idx="8">
                  <c:v>7.1</c:v>
                </c:pt>
                <c:pt idx="9">
                  <c:v>6.3</c:v>
                </c:pt>
                <c:pt idx="10">
                  <c:v>3.3</c:v>
                </c:pt>
                <c:pt idx="11">
                  <c:v>4.9000000000000004</c:v>
                </c:pt>
                <c:pt idx="12">
                  <c:v>8.1999999999999993</c:v>
                </c:pt>
                <c:pt idx="13">
                  <c:v>4.5</c:v>
                </c:pt>
                <c:pt idx="14">
                  <c:v>2.4</c:v>
                </c:pt>
                <c:pt idx="15">
                  <c:v>3.8</c:v>
                </c:pt>
                <c:pt idx="16">
                  <c:v>9.5</c:v>
                </c:pt>
                <c:pt idx="17">
                  <c:v>2.8</c:v>
                </c:pt>
                <c:pt idx="18">
                  <c:v>2.5</c:v>
                </c:pt>
                <c:pt idx="19">
                  <c:v>4</c:v>
                </c:pt>
                <c:pt idx="20">
                  <c:v>7.9</c:v>
                </c:pt>
                <c:pt idx="21">
                  <c:v>1.5</c:v>
                </c:pt>
                <c:pt idx="2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7-461C-919F-0C3F1E9A9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97173256"/>
        <c:axId val="1797183496"/>
      </c:barChart>
      <c:lineChart>
        <c:grouping val="standard"/>
        <c:varyColors val="0"/>
        <c:ser>
          <c:idx val="1"/>
          <c:order val="1"/>
          <c:tx>
            <c:strRef>
              <c:f>'PS5 Quarterly Sales'!$G$1</c:f>
              <c:strCache>
                <c:ptCount val="1"/>
                <c:pt idx="0">
                  <c:v>Cumulative Sales(M)</c:v>
                </c:pt>
              </c:strCache>
            </c:strRef>
          </c:tx>
          <c:spPr>
            <a:ln w="28575" cap="rnd" cmpd="sng" algn="ctr">
              <a:solidFill>
                <a:srgbClr val="00B0F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'PS5 Quarterly Sales'!$C$2:$C$24</c:f>
              <c:numCache>
                <c:formatCode>m/d/yyyy</c:formatCode>
                <c:ptCount val="23"/>
                <c:pt idx="0">
                  <c:v>44196</c:v>
                </c:pt>
                <c:pt idx="1">
                  <c:v>44286</c:v>
                </c:pt>
                <c:pt idx="2">
                  <c:v>44377</c:v>
                </c:pt>
                <c:pt idx="3">
                  <c:v>44469</c:v>
                </c:pt>
                <c:pt idx="4">
                  <c:v>44561</c:v>
                </c:pt>
                <c:pt idx="5">
                  <c:v>44651</c:v>
                </c:pt>
                <c:pt idx="6">
                  <c:v>44742</c:v>
                </c:pt>
                <c:pt idx="7">
                  <c:v>44834</c:v>
                </c:pt>
                <c:pt idx="8">
                  <c:v>44926</c:v>
                </c:pt>
                <c:pt idx="9">
                  <c:v>45016</c:v>
                </c:pt>
                <c:pt idx="10">
                  <c:v>45107</c:v>
                </c:pt>
                <c:pt idx="11">
                  <c:v>45199</c:v>
                </c:pt>
                <c:pt idx="12">
                  <c:v>45291</c:v>
                </c:pt>
                <c:pt idx="13">
                  <c:v>45382</c:v>
                </c:pt>
                <c:pt idx="14">
                  <c:v>45473</c:v>
                </c:pt>
                <c:pt idx="15">
                  <c:v>45565</c:v>
                </c:pt>
                <c:pt idx="16">
                  <c:v>45657</c:v>
                </c:pt>
                <c:pt idx="17">
                  <c:v>45747</c:v>
                </c:pt>
                <c:pt idx="18">
                  <c:v>45838</c:v>
                </c:pt>
                <c:pt idx="19">
                  <c:v>45930</c:v>
                </c:pt>
                <c:pt idx="20">
                  <c:v>46022</c:v>
                </c:pt>
                <c:pt idx="21">
                  <c:v>46112</c:v>
                </c:pt>
                <c:pt idx="22">
                  <c:v>46203</c:v>
                </c:pt>
              </c:numCache>
            </c:numRef>
          </c:cat>
          <c:val>
            <c:numRef>
              <c:f>'PS5 Quarterly Sales'!$G$2:$G$24</c:f>
              <c:numCache>
                <c:formatCode>General</c:formatCode>
                <c:ptCount val="23"/>
                <c:pt idx="0">
                  <c:v>4.5</c:v>
                </c:pt>
                <c:pt idx="1">
                  <c:v>7.8</c:v>
                </c:pt>
                <c:pt idx="2">
                  <c:v>10.1</c:v>
                </c:pt>
                <c:pt idx="3">
                  <c:v>13.4</c:v>
                </c:pt>
                <c:pt idx="4">
                  <c:v>17.3</c:v>
                </c:pt>
                <c:pt idx="5">
                  <c:v>19.3</c:v>
                </c:pt>
                <c:pt idx="6">
                  <c:v>21.7</c:v>
                </c:pt>
                <c:pt idx="7">
                  <c:v>25</c:v>
                </c:pt>
                <c:pt idx="8">
                  <c:v>32.1</c:v>
                </c:pt>
                <c:pt idx="9">
                  <c:v>38.4</c:v>
                </c:pt>
                <c:pt idx="10">
                  <c:v>41.7</c:v>
                </c:pt>
                <c:pt idx="11">
                  <c:v>46.6</c:v>
                </c:pt>
                <c:pt idx="12">
                  <c:v>54.8</c:v>
                </c:pt>
                <c:pt idx="13">
                  <c:v>59.3</c:v>
                </c:pt>
                <c:pt idx="14">
                  <c:v>61.7</c:v>
                </c:pt>
                <c:pt idx="15">
                  <c:v>65.5</c:v>
                </c:pt>
                <c:pt idx="16">
                  <c:v>75</c:v>
                </c:pt>
                <c:pt idx="17">
                  <c:v>77.8</c:v>
                </c:pt>
                <c:pt idx="18">
                  <c:v>80.3</c:v>
                </c:pt>
                <c:pt idx="19">
                  <c:v>84.3</c:v>
                </c:pt>
                <c:pt idx="20">
                  <c:v>92.2</c:v>
                </c:pt>
                <c:pt idx="21">
                  <c:v>93.7</c:v>
                </c:pt>
                <c:pt idx="22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7-461C-919F-0C3F1E9A9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110088"/>
        <c:axId val="1799176200"/>
      </c:lineChart>
      <c:dateAx>
        <c:axId val="179717325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83496"/>
        <c:crosses val="autoZero"/>
        <c:auto val="1"/>
        <c:lblOffset val="100"/>
        <c:baseTimeUnit val="months"/>
      </c:dateAx>
      <c:valAx>
        <c:axId val="1797183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Quarterly Sales(Millions)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73256"/>
        <c:crosses val="autoZero"/>
        <c:crossBetween val="between"/>
      </c:valAx>
      <c:valAx>
        <c:axId val="1799176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Sales(Millions)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10088"/>
        <c:crosses val="max"/>
        <c:crossBetween val="between"/>
      </c:valAx>
      <c:dateAx>
        <c:axId val="1800110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9917620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[PlayStation_Final_Lifecycle_Analysis.xlsx]Dashboard!PivotTable3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Quarterly Sales by Fiscal Year</a:t>
            </a:r>
          </a:p>
        </c:rich>
      </c:tx>
      <c:layout>
        <c:manualLayout>
          <c:xMode val="edge"/>
          <c:yMode val="edge"/>
          <c:x val="0.1499449758862786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Dashboard!$AP$6:$AP$29</c:f>
              <c:strCache>
                <c:ptCount val="23"/>
                <c:pt idx="0">
                  <c:v>12/31/2020</c:v>
                </c:pt>
                <c:pt idx="1">
                  <c:v>3/31/2021</c:v>
                </c:pt>
                <c:pt idx="2">
                  <c:v>6/30/2021</c:v>
                </c:pt>
                <c:pt idx="3">
                  <c:v>9/30/2021</c:v>
                </c:pt>
                <c:pt idx="4">
                  <c:v>12/31/2021</c:v>
                </c:pt>
                <c:pt idx="5">
                  <c:v>3/31/2022</c:v>
                </c:pt>
                <c:pt idx="6">
                  <c:v>6/30/2022</c:v>
                </c:pt>
                <c:pt idx="7">
                  <c:v>9/30/2022</c:v>
                </c:pt>
                <c:pt idx="8">
                  <c:v>12/31/2022</c:v>
                </c:pt>
                <c:pt idx="9">
                  <c:v>3/31/2023</c:v>
                </c:pt>
                <c:pt idx="10">
                  <c:v>6/30/2023</c:v>
                </c:pt>
                <c:pt idx="11">
                  <c:v>9/30/2023</c:v>
                </c:pt>
                <c:pt idx="12">
                  <c:v>12/31/2023</c:v>
                </c:pt>
                <c:pt idx="13">
                  <c:v>3/31/2024</c:v>
                </c:pt>
                <c:pt idx="14">
                  <c:v>6/30/2024</c:v>
                </c:pt>
                <c:pt idx="15">
                  <c:v>9/30/2024</c:v>
                </c:pt>
                <c:pt idx="16">
                  <c:v>12/31/2024</c:v>
                </c:pt>
                <c:pt idx="17">
                  <c:v>3/31/2025</c:v>
                </c:pt>
                <c:pt idx="18">
                  <c:v>6/30/2025</c:v>
                </c:pt>
                <c:pt idx="19">
                  <c:v>9/30/2025</c:v>
                </c:pt>
                <c:pt idx="20">
                  <c:v>12/31/2025</c:v>
                </c:pt>
                <c:pt idx="21">
                  <c:v>3/31/2026</c:v>
                </c:pt>
                <c:pt idx="22">
                  <c:v>6/30/2026</c:v>
                </c:pt>
              </c:strCache>
            </c:strRef>
          </c:cat>
          <c:val>
            <c:numRef>
              <c:f>Dashboard!$AQ$6:$AQ$29</c:f>
              <c:numCache>
                <c:formatCode>General</c:formatCode>
                <c:ptCount val="23"/>
                <c:pt idx="0">
                  <c:v>4.5</c:v>
                </c:pt>
                <c:pt idx="1">
                  <c:v>3.3</c:v>
                </c:pt>
                <c:pt idx="2">
                  <c:v>2.2999999999999998</c:v>
                </c:pt>
                <c:pt idx="3">
                  <c:v>3.3</c:v>
                </c:pt>
                <c:pt idx="4">
                  <c:v>3.9</c:v>
                </c:pt>
                <c:pt idx="5">
                  <c:v>2</c:v>
                </c:pt>
                <c:pt idx="6">
                  <c:v>2.4</c:v>
                </c:pt>
                <c:pt idx="7">
                  <c:v>3.3</c:v>
                </c:pt>
                <c:pt idx="8">
                  <c:v>7.1</c:v>
                </c:pt>
                <c:pt idx="9">
                  <c:v>6.3</c:v>
                </c:pt>
                <c:pt idx="10">
                  <c:v>3.3</c:v>
                </c:pt>
                <c:pt idx="11">
                  <c:v>4.9000000000000004</c:v>
                </c:pt>
                <c:pt idx="12">
                  <c:v>8.1999999999999993</c:v>
                </c:pt>
                <c:pt idx="13">
                  <c:v>4.5</c:v>
                </c:pt>
                <c:pt idx="14">
                  <c:v>2.4</c:v>
                </c:pt>
                <c:pt idx="15">
                  <c:v>3.8</c:v>
                </c:pt>
                <c:pt idx="16">
                  <c:v>9.5</c:v>
                </c:pt>
                <c:pt idx="17">
                  <c:v>2.8</c:v>
                </c:pt>
                <c:pt idx="18">
                  <c:v>2.5</c:v>
                </c:pt>
                <c:pt idx="19">
                  <c:v>4</c:v>
                </c:pt>
                <c:pt idx="20">
                  <c:v>7.9</c:v>
                </c:pt>
                <c:pt idx="21">
                  <c:v>1.5</c:v>
                </c:pt>
                <c:pt idx="2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C-4B7E-8BF6-070D1C1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044808"/>
        <c:axId val="1748096008"/>
      </c:barChart>
      <c:catAx>
        <c:axId val="174804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96008"/>
        <c:crosses val="autoZero"/>
        <c:auto val="1"/>
        <c:lblAlgn val="ctr"/>
        <c:lblOffset val="100"/>
        <c:noMultiLvlLbl val="0"/>
      </c:catAx>
      <c:valAx>
        <c:axId val="1748096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4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[PlayStation_Final_Lifecycle_Analysis.xlsx]Dashboard!PivotTable4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Year-over-Year Trend by Fiscal Year</a:t>
            </a:r>
          </a:p>
        </c:rich>
      </c:tx>
      <c:layout>
        <c:manualLayout>
          <c:xMode val="edge"/>
          <c:yMode val="edge"/>
          <c:x val="0.1960762942779291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Dashboard!$AT$2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Dashboard!$AS$3:$AS$26</c:f>
              <c:strCache>
                <c:ptCount val="23"/>
                <c:pt idx="0">
                  <c:v>12/31/2020</c:v>
                </c:pt>
                <c:pt idx="1">
                  <c:v>3/31/2021</c:v>
                </c:pt>
                <c:pt idx="2">
                  <c:v>6/30/2021</c:v>
                </c:pt>
                <c:pt idx="3">
                  <c:v>9/30/2021</c:v>
                </c:pt>
                <c:pt idx="4">
                  <c:v>12/31/2021</c:v>
                </c:pt>
                <c:pt idx="5">
                  <c:v>3/31/2022</c:v>
                </c:pt>
                <c:pt idx="6">
                  <c:v>6/30/2022</c:v>
                </c:pt>
                <c:pt idx="7">
                  <c:v>9/30/2022</c:v>
                </c:pt>
                <c:pt idx="8">
                  <c:v>12/31/2022</c:v>
                </c:pt>
                <c:pt idx="9">
                  <c:v>3/31/2023</c:v>
                </c:pt>
                <c:pt idx="10">
                  <c:v>6/30/2023</c:v>
                </c:pt>
                <c:pt idx="11">
                  <c:v>9/30/2023</c:v>
                </c:pt>
                <c:pt idx="12">
                  <c:v>12/31/2023</c:v>
                </c:pt>
                <c:pt idx="13">
                  <c:v>3/31/2024</c:v>
                </c:pt>
                <c:pt idx="14">
                  <c:v>6/30/2024</c:v>
                </c:pt>
                <c:pt idx="15">
                  <c:v>9/30/2024</c:v>
                </c:pt>
                <c:pt idx="16">
                  <c:v>12/31/2024</c:v>
                </c:pt>
                <c:pt idx="17">
                  <c:v>3/31/2025</c:v>
                </c:pt>
                <c:pt idx="18">
                  <c:v>6/30/2025</c:v>
                </c:pt>
                <c:pt idx="19">
                  <c:v>9/30/2025</c:v>
                </c:pt>
                <c:pt idx="20">
                  <c:v>12/31/2025</c:v>
                </c:pt>
                <c:pt idx="21">
                  <c:v>3/31/2026</c:v>
                </c:pt>
                <c:pt idx="22">
                  <c:v>6/30/2026</c:v>
                </c:pt>
              </c:strCache>
            </c:strRef>
          </c:cat>
          <c:val>
            <c:numRef>
              <c:f>Dashboard!$AT$3:$AT$26</c:f>
              <c:numCache>
                <c:formatCode>0.0"%"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-13.33</c:v>
                </c:pt>
                <c:pt idx="5">
                  <c:v>-39.39</c:v>
                </c:pt>
                <c:pt idx="6">
                  <c:v>4.3499999999999996</c:v>
                </c:pt>
                <c:pt idx="7">
                  <c:v>0</c:v>
                </c:pt>
                <c:pt idx="8">
                  <c:v>82.05</c:v>
                </c:pt>
                <c:pt idx="9">
                  <c:v>215</c:v>
                </c:pt>
                <c:pt idx="10">
                  <c:v>37.5</c:v>
                </c:pt>
                <c:pt idx="11">
                  <c:v>48.48</c:v>
                </c:pt>
                <c:pt idx="12">
                  <c:v>15.49</c:v>
                </c:pt>
                <c:pt idx="13">
                  <c:v>-28.57</c:v>
                </c:pt>
                <c:pt idx="14">
                  <c:v>-27.27</c:v>
                </c:pt>
                <c:pt idx="15">
                  <c:v>-22.45</c:v>
                </c:pt>
                <c:pt idx="16">
                  <c:v>15.85</c:v>
                </c:pt>
                <c:pt idx="17">
                  <c:v>-37.78</c:v>
                </c:pt>
                <c:pt idx="18">
                  <c:v>4.17</c:v>
                </c:pt>
                <c:pt idx="19">
                  <c:v>5.26</c:v>
                </c:pt>
                <c:pt idx="20">
                  <c:v>-16.84</c:v>
                </c:pt>
                <c:pt idx="21">
                  <c:v>-46.43</c:v>
                </c:pt>
                <c:pt idx="22">
                  <c:v>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5-44AF-9AA4-86DF3B487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815432"/>
        <c:axId val="1987977224"/>
      </c:lineChart>
      <c:catAx>
        <c:axId val="198781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77224"/>
        <c:crosses val="autoZero"/>
        <c:auto val="1"/>
        <c:lblAlgn val="ctr"/>
        <c:lblOffset val="100"/>
        <c:noMultiLvlLbl val="0"/>
      </c:catAx>
      <c:valAx>
        <c:axId val="1987977224"/>
        <c:scaling>
          <c:orientation val="minMax"/>
          <c:min val="-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Year-over-Year Growth(%)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1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[PlayStation_Final_Lifecycle_Analysis.xlsx]Dashboard!PivotTable5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Yearly Sales by Fiscal Quarter</a:t>
            </a:r>
          </a:p>
        </c:rich>
      </c:tx>
      <c:layout>
        <c:manualLayout>
          <c:xMode val="edge"/>
          <c:yMode val="edge"/>
          <c:x val="0.1381630118815793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Dashboard!$AV$5:$AV$12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Dashboard!$AW$5:$AW$12</c:f>
              <c:numCache>
                <c:formatCode>General</c:formatCode>
                <c:ptCount val="7"/>
                <c:pt idx="0">
                  <c:v>7.8</c:v>
                </c:pt>
                <c:pt idx="1">
                  <c:v>11.5</c:v>
                </c:pt>
                <c:pt idx="2">
                  <c:v>19.099999999999998</c:v>
                </c:pt>
                <c:pt idx="3">
                  <c:v>20.9</c:v>
                </c:pt>
                <c:pt idx="4">
                  <c:v>18.5</c:v>
                </c:pt>
                <c:pt idx="5">
                  <c:v>15.9</c:v>
                </c:pt>
                <c:pt idx="6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5-41D3-A854-1F2A29767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854728"/>
        <c:axId val="2093856776"/>
      </c:barChart>
      <c:catAx>
        <c:axId val="209385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56776"/>
        <c:crosses val="autoZero"/>
        <c:auto val="1"/>
        <c:lblAlgn val="ctr"/>
        <c:lblOffset val="100"/>
        <c:noMultiLvlLbl val="0"/>
      </c:catAx>
      <c:valAx>
        <c:axId val="2093856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5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PS6 Lifecycle Scenarios</a:t>
            </a:r>
          </a:p>
        </c:rich>
      </c:tx>
      <c:layout>
        <c:manualLayout>
          <c:xMode val="edge"/>
          <c:yMode val="edge"/>
          <c:x val="0.37559198542805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'PS6 Scenario'!$B$2</c:f>
              <c:strCache>
                <c:ptCount val="1"/>
                <c:pt idx="0">
                  <c:v>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'PS6 Scenario'!$A$3:$A$5</c:f>
              <c:strCache>
                <c:ptCount val="3"/>
                <c:pt idx="0">
                  <c:v>Average Cycle</c:v>
                </c:pt>
                <c:pt idx="1">
                  <c:v>Recent Cycle</c:v>
                </c:pt>
                <c:pt idx="2">
                  <c:v>Assumption Cycle</c:v>
                </c:pt>
              </c:strCache>
            </c:strRef>
          </c:cat>
          <c:val>
            <c:numRef>
              <c:f>'PS6 Scenario'!$B$3:$B$5</c:f>
              <c:numCache>
                <c:formatCode>0.00</c:formatCode>
                <c:ptCount val="3"/>
                <c:pt idx="0">
                  <c:v>6.2937500000000002</c:v>
                </c:pt>
                <c:pt idx="1">
                  <c:v>6.9916666666666663</c:v>
                </c:pt>
                <c:pt idx="2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5-43EB-AACB-619BCCAE5B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1732615"/>
        <c:axId val="641734663"/>
      </c:barChart>
      <c:catAx>
        <c:axId val="64173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34663"/>
        <c:crosses val="autoZero"/>
        <c:auto val="1"/>
        <c:lblAlgn val="ctr"/>
        <c:lblOffset val="100"/>
        <c:noMultiLvlLbl val="0"/>
      </c:catAx>
      <c:valAx>
        <c:axId val="641734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Since PS5 Launch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32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[PlayStation_Final_Lifecycle_Analysis.xlsx]Pivot 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Data'!$B$4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Data'!$A$5:$A$28</c:f>
              <c:strCache>
                <c:ptCount val="23"/>
                <c:pt idx="0">
                  <c:v>12/31/2020</c:v>
                </c:pt>
                <c:pt idx="1">
                  <c:v>3/31/2021</c:v>
                </c:pt>
                <c:pt idx="2">
                  <c:v>6/30/2021</c:v>
                </c:pt>
                <c:pt idx="3">
                  <c:v>9/30/2021</c:v>
                </c:pt>
                <c:pt idx="4">
                  <c:v>12/31/2021</c:v>
                </c:pt>
                <c:pt idx="5">
                  <c:v>3/31/2022</c:v>
                </c:pt>
                <c:pt idx="6">
                  <c:v>6/30/2022</c:v>
                </c:pt>
                <c:pt idx="7">
                  <c:v>9/30/2022</c:v>
                </c:pt>
                <c:pt idx="8">
                  <c:v>12/31/2022</c:v>
                </c:pt>
                <c:pt idx="9">
                  <c:v>3/31/2023</c:v>
                </c:pt>
                <c:pt idx="10">
                  <c:v>6/30/2023</c:v>
                </c:pt>
                <c:pt idx="11">
                  <c:v>9/30/2023</c:v>
                </c:pt>
                <c:pt idx="12">
                  <c:v>12/31/2023</c:v>
                </c:pt>
                <c:pt idx="13">
                  <c:v>3/31/2024</c:v>
                </c:pt>
                <c:pt idx="14">
                  <c:v>6/30/2024</c:v>
                </c:pt>
                <c:pt idx="15">
                  <c:v>9/30/2024</c:v>
                </c:pt>
                <c:pt idx="16">
                  <c:v>12/31/2024</c:v>
                </c:pt>
                <c:pt idx="17">
                  <c:v>3/31/2025</c:v>
                </c:pt>
                <c:pt idx="18">
                  <c:v>6/30/2025</c:v>
                </c:pt>
                <c:pt idx="19">
                  <c:v>9/30/2025</c:v>
                </c:pt>
                <c:pt idx="20">
                  <c:v>12/31/2025</c:v>
                </c:pt>
                <c:pt idx="21">
                  <c:v>3/31/2026</c:v>
                </c:pt>
                <c:pt idx="22">
                  <c:v>6/30/2026</c:v>
                </c:pt>
              </c:strCache>
            </c:strRef>
          </c:cat>
          <c:val>
            <c:numRef>
              <c:f>'Pivot Data'!$B$5:$B$28</c:f>
              <c:numCache>
                <c:formatCode>General</c:formatCode>
                <c:ptCount val="23"/>
                <c:pt idx="0">
                  <c:v>4.5</c:v>
                </c:pt>
                <c:pt idx="1">
                  <c:v>3.3</c:v>
                </c:pt>
                <c:pt idx="2">
                  <c:v>2.2999999999999998</c:v>
                </c:pt>
                <c:pt idx="3">
                  <c:v>3.3</c:v>
                </c:pt>
                <c:pt idx="4">
                  <c:v>3.9</c:v>
                </c:pt>
                <c:pt idx="5">
                  <c:v>2</c:v>
                </c:pt>
                <c:pt idx="6">
                  <c:v>2.4</c:v>
                </c:pt>
                <c:pt idx="7">
                  <c:v>3.3</c:v>
                </c:pt>
                <c:pt idx="8">
                  <c:v>7.1</c:v>
                </c:pt>
                <c:pt idx="9">
                  <c:v>6.3</c:v>
                </c:pt>
                <c:pt idx="10">
                  <c:v>3.3</c:v>
                </c:pt>
                <c:pt idx="11">
                  <c:v>4.9000000000000004</c:v>
                </c:pt>
                <c:pt idx="12">
                  <c:v>8.1999999999999993</c:v>
                </c:pt>
                <c:pt idx="13">
                  <c:v>4.5</c:v>
                </c:pt>
                <c:pt idx="14">
                  <c:v>2.4</c:v>
                </c:pt>
                <c:pt idx="15">
                  <c:v>3.8</c:v>
                </c:pt>
                <c:pt idx="16">
                  <c:v>9.5</c:v>
                </c:pt>
                <c:pt idx="17">
                  <c:v>2.8</c:v>
                </c:pt>
                <c:pt idx="18">
                  <c:v>2.5</c:v>
                </c:pt>
                <c:pt idx="19">
                  <c:v>4</c:v>
                </c:pt>
                <c:pt idx="20">
                  <c:v>7.9</c:v>
                </c:pt>
                <c:pt idx="21">
                  <c:v>1.5</c:v>
                </c:pt>
                <c:pt idx="2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4-4C7D-AF3C-B3ADAA874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295"/>
        <c:axId val="7378951"/>
      </c:barChart>
      <c:catAx>
        <c:axId val="737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951"/>
        <c:crosses val="autoZero"/>
        <c:auto val="1"/>
        <c:lblAlgn val="ctr"/>
        <c:lblOffset val="100"/>
        <c:noMultiLvlLbl val="0"/>
      </c:catAx>
      <c:valAx>
        <c:axId val="737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2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[PlayStation_Final_Lifecycle_Analysis.xlsx]Pivot Data!PivotTable8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YoY Hardware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Data'!$E$5:$E$28</c:f>
              <c:strCache>
                <c:ptCount val="23"/>
                <c:pt idx="0">
                  <c:v>12/31/2020</c:v>
                </c:pt>
                <c:pt idx="1">
                  <c:v>3/31/2021</c:v>
                </c:pt>
                <c:pt idx="2">
                  <c:v>6/30/2021</c:v>
                </c:pt>
                <c:pt idx="3">
                  <c:v>9/30/2021</c:v>
                </c:pt>
                <c:pt idx="4">
                  <c:v>12/31/2021</c:v>
                </c:pt>
                <c:pt idx="5">
                  <c:v>3/31/2022</c:v>
                </c:pt>
                <c:pt idx="6">
                  <c:v>6/30/2022</c:v>
                </c:pt>
                <c:pt idx="7">
                  <c:v>9/30/2022</c:v>
                </c:pt>
                <c:pt idx="8">
                  <c:v>12/31/2022</c:v>
                </c:pt>
                <c:pt idx="9">
                  <c:v>3/31/2023</c:v>
                </c:pt>
                <c:pt idx="10">
                  <c:v>6/30/2023</c:v>
                </c:pt>
                <c:pt idx="11">
                  <c:v>9/30/2023</c:v>
                </c:pt>
                <c:pt idx="12">
                  <c:v>12/31/2023</c:v>
                </c:pt>
                <c:pt idx="13">
                  <c:v>3/31/2024</c:v>
                </c:pt>
                <c:pt idx="14">
                  <c:v>6/30/2024</c:v>
                </c:pt>
                <c:pt idx="15">
                  <c:v>9/30/2024</c:v>
                </c:pt>
                <c:pt idx="16">
                  <c:v>12/31/2024</c:v>
                </c:pt>
                <c:pt idx="17">
                  <c:v>3/31/2025</c:v>
                </c:pt>
                <c:pt idx="18">
                  <c:v>6/30/2025</c:v>
                </c:pt>
                <c:pt idx="19">
                  <c:v>9/30/2025</c:v>
                </c:pt>
                <c:pt idx="20">
                  <c:v>12/31/2025</c:v>
                </c:pt>
                <c:pt idx="21">
                  <c:v>3/31/2026</c:v>
                </c:pt>
                <c:pt idx="22">
                  <c:v>6/30/2026</c:v>
                </c:pt>
              </c:strCache>
            </c:strRef>
          </c:cat>
          <c:val>
            <c:numRef>
              <c:f>'Pivot Data'!$F$5:$F$28</c:f>
              <c:numCache>
                <c:formatCode>0.0"%"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-13.33</c:v>
                </c:pt>
                <c:pt idx="5">
                  <c:v>-39.39</c:v>
                </c:pt>
                <c:pt idx="6">
                  <c:v>4.3499999999999996</c:v>
                </c:pt>
                <c:pt idx="7">
                  <c:v>0</c:v>
                </c:pt>
                <c:pt idx="8">
                  <c:v>82.05</c:v>
                </c:pt>
                <c:pt idx="9">
                  <c:v>215</c:v>
                </c:pt>
                <c:pt idx="10">
                  <c:v>37.5</c:v>
                </c:pt>
                <c:pt idx="11">
                  <c:v>48.48</c:v>
                </c:pt>
                <c:pt idx="12">
                  <c:v>15.49</c:v>
                </c:pt>
                <c:pt idx="13">
                  <c:v>-28.57</c:v>
                </c:pt>
                <c:pt idx="14">
                  <c:v>-27.27</c:v>
                </c:pt>
                <c:pt idx="15">
                  <c:v>-22.45</c:v>
                </c:pt>
                <c:pt idx="16">
                  <c:v>15.85</c:v>
                </c:pt>
                <c:pt idx="17">
                  <c:v>-37.78</c:v>
                </c:pt>
                <c:pt idx="18">
                  <c:v>4.17</c:v>
                </c:pt>
                <c:pt idx="19">
                  <c:v>5.26</c:v>
                </c:pt>
                <c:pt idx="20">
                  <c:v>-16.84</c:v>
                </c:pt>
                <c:pt idx="21">
                  <c:v>-46.43</c:v>
                </c:pt>
                <c:pt idx="22">
                  <c:v>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A-47D5-8FC1-9F34835E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8871"/>
        <c:axId val="129263623"/>
      </c:lineChart>
      <c:catAx>
        <c:axId val="1814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63623"/>
        <c:crosses val="autoZero"/>
        <c:auto val="1"/>
        <c:lblAlgn val="ctr"/>
        <c:lblOffset val="100"/>
        <c:noMultiLvlLbl val="0"/>
      </c:catAx>
      <c:valAx>
        <c:axId val="129263623"/>
        <c:scaling>
          <c:orientation val="minMax"/>
          <c:min val="-60"/>
        </c:scaling>
        <c:delete val="0"/>
        <c:axPos val="l"/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8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[PlayStation_Final_Lifecycle_Analysis.xlsx]Pivot Data!PivotTable1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PS5 Sales by Fiscal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Data'!$J$3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Data'!$I$4:$I$11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'Pivot Data'!$J$4:$J$11</c:f>
              <c:numCache>
                <c:formatCode>General</c:formatCode>
                <c:ptCount val="7"/>
                <c:pt idx="0">
                  <c:v>7.8</c:v>
                </c:pt>
                <c:pt idx="1">
                  <c:v>11.5</c:v>
                </c:pt>
                <c:pt idx="2">
                  <c:v>19.099999999999998</c:v>
                </c:pt>
                <c:pt idx="3">
                  <c:v>20.9</c:v>
                </c:pt>
                <c:pt idx="4">
                  <c:v>18.5</c:v>
                </c:pt>
                <c:pt idx="5">
                  <c:v>15.9</c:v>
                </c:pt>
                <c:pt idx="6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8-41D9-AC48-7B11BE0A1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221000"/>
        <c:axId val="2084271624"/>
      </c:barChart>
      <c:catAx>
        <c:axId val="205922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71624"/>
        <c:crosses val="autoZero"/>
        <c:auto val="1"/>
        <c:lblAlgn val="ctr"/>
        <c:lblOffset val="100"/>
        <c:noMultiLvlLbl val="0"/>
      </c:catAx>
      <c:valAx>
        <c:axId val="2084271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[PlayStation_Final_Lifecycle_Analysis.xlsx]FYQ3 PivotTable!PivotTable1</c:name>
    <c:fmtId val="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'FYQ3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'FYQ3 PivotTable'!$A$4:$A$10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'FYQ3 PivotTable'!$B$4:$B$10</c:f>
              <c:numCache>
                <c:formatCode>General</c:formatCode>
                <c:ptCount val="6"/>
                <c:pt idx="0">
                  <c:v>4.5</c:v>
                </c:pt>
                <c:pt idx="1">
                  <c:v>3.9</c:v>
                </c:pt>
                <c:pt idx="2">
                  <c:v>7.1</c:v>
                </c:pt>
                <c:pt idx="3">
                  <c:v>8.1999999999999993</c:v>
                </c:pt>
                <c:pt idx="4">
                  <c:v>9.5</c:v>
                </c:pt>
                <c:pt idx="5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7-4DCD-9DD2-2AF30F0AA5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6923656"/>
        <c:axId val="1976952328"/>
      </c:barChart>
      <c:catAx>
        <c:axId val="197692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52328"/>
        <c:crosses val="autoZero"/>
        <c:auto val="1"/>
        <c:lblAlgn val="ctr"/>
        <c:lblOffset val="100"/>
        <c:noMultiLvlLbl val="0"/>
      </c:catAx>
      <c:valAx>
        <c:axId val="197695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2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4</xdr:row>
      <xdr:rowOff>104775</xdr:rowOff>
    </xdr:from>
    <xdr:to>
      <xdr:col>11</xdr:col>
      <xdr:colOff>114300</xdr:colOff>
      <xdr:row>10</xdr:row>
      <xdr:rowOff>180975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B309D4D8-4BBE-2994-AD3D-975EFEEE0470}"/>
            </a:ext>
            <a:ext uri="{147F2762-F138-4A5C-976F-8EAC2B608ADB}">
              <a16:predDERef xmlns:a16="http://schemas.microsoft.com/office/drawing/2014/main" pred="{67E2FCE5-049A-BF79-D758-06D1563CFBE5}"/>
            </a:ext>
          </a:extLst>
        </xdr:cNvPr>
        <xdr:cNvSpPr/>
      </xdr:nvSpPr>
      <xdr:spPr>
        <a:xfrm>
          <a:off x="4714875" y="895350"/>
          <a:ext cx="2133600" cy="1219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47625</xdr:colOff>
      <xdr:row>11</xdr:row>
      <xdr:rowOff>76200</xdr:rowOff>
    </xdr:from>
    <xdr:to>
      <xdr:col>6</xdr:col>
      <xdr:colOff>95250</xdr:colOff>
      <xdr:row>22</xdr:row>
      <xdr:rowOff>28575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D7604AFE-873F-AED1-7FAF-20A0EC7E0828}"/>
            </a:ext>
            <a:ext uri="{147F2762-F138-4A5C-976F-8EAC2B608ADB}">
              <a16:predDERef xmlns:a16="http://schemas.microsoft.com/office/drawing/2014/main" pred="{B309D4D8-4BBE-2994-AD3D-975EFEEE0470}"/>
            </a:ext>
          </a:extLst>
        </xdr:cNvPr>
        <xdr:cNvSpPr/>
      </xdr:nvSpPr>
      <xdr:spPr>
        <a:xfrm>
          <a:off x="47625" y="2200275"/>
          <a:ext cx="3733800" cy="2047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104775</xdr:colOff>
      <xdr:row>11</xdr:row>
      <xdr:rowOff>85725</xdr:rowOff>
    </xdr:from>
    <xdr:to>
      <xdr:col>12</xdr:col>
      <xdr:colOff>180975</xdr:colOff>
      <xdr:row>22</xdr:row>
      <xdr:rowOff>19050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A41C108C-09BC-FE2D-71C5-E17681B30064}"/>
            </a:ext>
            <a:ext uri="{147F2762-F138-4A5C-976F-8EAC2B608ADB}">
              <a16:predDERef xmlns:a16="http://schemas.microsoft.com/office/drawing/2014/main" pred="{D7604AFE-873F-AED1-7FAF-20A0EC7E0828}"/>
            </a:ext>
          </a:extLst>
        </xdr:cNvPr>
        <xdr:cNvSpPr/>
      </xdr:nvSpPr>
      <xdr:spPr>
        <a:xfrm>
          <a:off x="3790950" y="2209800"/>
          <a:ext cx="3733800" cy="20288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257175</xdr:colOff>
      <xdr:row>11</xdr:row>
      <xdr:rowOff>180975</xdr:rowOff>
    </xdr:from>
    <xdr:to>
      <xdr:col>12</xdr:col>
      <xdr:colOff>76200</xdr:colOff>
      <xdr:row>21</xdr:row>
      <xdr:rowOff>123825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F937C82-F17E-49BB-A318-65C9B0547D13}"/>
            </a:ext>
            <a:ext uri="{147F2762-F138-4A5C-976F-8EAC2B608ADB}">
              <a16:predDERef xmlns:a16="http://schemas.microsoft.com/office/drawing/2014/main" pred="{A41C108C-09BC-FE2D-71C5-E17681B30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11</xdr:row>
      <xdr:rowOff>161925</xdr:rowOff>
    </xdr:from>
    <xdr:to>
      <xdr:col>5</xdr:col>
      <xdr:colOff>571500</xdr:colOff>
      <xdr:row>21</xdr:row>
      <xdr:rowOff>152400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5DB7694B-352D-4C99-BC75-1D5AAE99F684}"/>
            </a:ext>
            <a:ext uri="{147F2762-F138-4A5C-976F-8EAC2B608ADB}">
              <a16:predDERef xmlns:a16="http://schemas.microsoft.com/office/drawing/2014/main" pred="{3F937C82-F17E-49BB-A318-65C9B0547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4</xdr:row>
      <xdr:rowOff>85725</xdr:rowOff>
    </xdr:from>
    <xdr:to>
      <xdr:col>7</xdr:col>
      <xdr:colOff>257175</xdr:colOff>
      <xdr:row>10</xdr:row>
      <xdr:rowOff>180975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F3BCE9F-97AE-9862-6444-44BAB0D76777}"/>
            </a:ext>
            <a:ext uri="{147F2762-F138-4A5C-976F-8EAC2B608ADB}">
              <a16:predDERef xmlns:a16="http://schemas.microsoft.com/office/drawing/2014/main" pred="{7EFB0715-A28F-4F12-9049-1EFB15E4A74C}"/>
            </a:ext>
          </a:extLst>
        </xdr:cNvPr>
        <xdr:cNvSpPr/>
      </xdr:nvSpPr>
      <xdr:spPr>
        <a:xfrm>
          <a:off x="2390775" y="876300"/>
          <a:ext cx="2162175" cy="1238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66675</xdr:colOff>
      <xdr:row>4</xdr:row>
      <xdr:rowOff>57150</xdr:rowOff>
    </xdr:from>
    <xdr:to>
      <xdr:col>3</xdr:col>
      <xdr:colOff>447675</xdr:colOff>
      <xdr:row>11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E2AE960-4612-9BE5-9F50-202302A1AE4C}"/>
            </a:ext>
            <a:ext uri="{147F2762-F138-4A5C-976F-8EAC2B608ADB}">
              <a16:predDERef xmlns:a16="http://schemas.microsoft.com/office/drawing/2014/main" pred="{0F3BCE9F-97AE-9862-6444-44BAB0D76777}"/>
            </a:ext>
          </a:extLst>
        </xdr:cNvPr>
        <xdr:cNvSpPr/>
      </xdr:nvSpPr>
      <xdr:spPr>
        <a:xfrm>
          <a:off x="66675" y="847725"/>
          <a:ext cx="2238375" cy="12763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247650</xdr:colOff>
      <xdr:row>4</xdr:row>
      <xdr:rowOff>104775</xdr:rowOff>
    </xdr:from>
    <xdr:to>
      <xdr:col>14</xdr:col>
      <xdr:colOff>409575</xdr:colOff>
      <xdr:row>11</xdr:row>
      <xdr:rowOff>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A289E796-6B89-2E0B-746B-9C32B94E23DE}"/>
            </a:ext>
            <a:ext uri="{147F2762-F138-4A5C-976F-8EAC2B608ADB}">
              <a16:predDERef xmlns:a16="http://schemas.microsoft.com/office/drawing/2014/main" pred="{EE2AE960-4612-9BE5-9F50-202302A1AE4C}"/>
            </a:ext>
          </a:extLst>
        </xdr:cNvPr>
        <xdr:cNvSpPr/>
      </xdr:nvSpPr>
      <xdr:spPr>
        <a:xfrm>
          <a:off x="6981825" y="895350"/>
          <a:ext cx="2028825" cy="12287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495300</xdr:colOff>
      <xdr:row>4</xdr:row>
      <xdr:rowOff>85725</xdr:rowOff>
    </xdr:from>
    <xdr:to>
      <xdr:col>18</xdr:col>
      <xdr:colOff>161925</xdr:colOff>
      <xdr:row>10</xdr:row>
      <xdr:rowOff>171450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73050B36-CAC9-3E43-0010-AE3748887F01}"/>
            </a:ext>
            <a:ext uri="{147F2762-F138-4A5C-976F-8EAC2B608ADB}">
              <a16:predDERef xmlns:a16="http://schemas.microsoft.com/office/drawing/2014/main" pred="{A289E796-6B89-2E0B-746B-9C32B94E23DE}"/>
            </a:ext>
          </a:extLst>
        </xdr:cNvPr>
        <xdr:cNvSpPr/>
      </xdr:nvSpPr>
      <xdr:spPr>
        <a:xfrm>
          <a:off x="9096375" y="876300"/>
          <a:ext cx="2162175" cy="12287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200025</xdr:colOff>
      <xdr:row>5</xdr:row>
      <xdr:rowOff>0</xdr:rowOff>
    </xdr:from>
    <xdr:to>
      <xdr:col>3</xdr:col>
      <xdr:colOff>323850</xdr:colOff>
      <xdr:row>10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59ADA34-06D9-38DD-A52E-437EB11D803A}"/>
            </a:ext>
            <a:ext uri="{147F2762-F138-4A5C-976F-8EAC2B608ADB}">
              <a16:predDERef xmlns:a16="http://schemas.microsoft.com/office/drawing/2014/main" pred="{73050B36-CAC9-3E43-0010-AE3748887F01}"/>
            </a:ext>
          </a:extLst>
        </xdr:cNvPr>
        <xdr:cNvSpPr txBox="1"/>
      </xdr:nvSpPr>
      <xdr:spPr>
        <a:xfrm>
          <a:off x="200025" y="981075"/>
          <a:ext cx="1981200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>
              <a:solidFill>
                <a:schemeClr val="accent1"/>
              </a:solidFill>
              <a:latin typeface="+mn-lt"/>
              <a:ea typeface="+mn-lt"/>
              <a:cs typeface="+mn-lt"/>
            </a:rPr>
            <a:t>95.3M</a:t>
          </a:r>
        </a:p>
      </xdr:txBody>
    </xdr:sp>
    <xdr:clientData/>
  </xdr:twoCellAnchor>
  <xdr:twoCellAnchor>
    <xdr:from>
      <xdr:col>4</xdr:col>
      <xdr:colOff>95250</xdr:colOff>
      <xdr:row>5</xdr:row>
      <xdr:rowOff>19050</xdr:rowOff>
    </xdr:from>
    <xdr:to>
      <xdr:col>7</xdr:col>
      <xdr:colOff>76200</xdr:colOff>
      <xdr:row>10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A0EC7F-BCB4-FDDA-B7FC-F84633261F0C}"/>
            </a:ext>
            <a:ext uri="{147F2762-F138-4A5C-976F-8EAC2B608ADB}">
              <a16:predDERef xmlns:a16="http://schemas.microsoft.com/office/drawing/2014/main" pred="{759ADA34-06D9-38DD-A52E-437EB11D803A}"/>
            </a:ext>
          </a:extLst>
        </xdr:cNvPr>
        <xdr:cNvSpPr txBox="1"/>
      </xdr:nvSpPr>
      <xdr:spPr>
        <a:xfrm>
          <a:off x="2562225" y="1000125"/>
          <a:ext cx="1809750" cy="1019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>
              <a:solidFill>
                <a:schemeClr val="accent1"/>
              </a:solidFill>
              <a:latin typeface="+mn-lt"/>
              <a:ea typeface="+mn-lt"/>
              <a:cs typeface="+mn-lt"/>
            </a:rPr>
            <a:t>9.5M</a:t>
          </a:r>
        </a:p>
      </xdr:txBody>
    </xdr:sp>
    <xdr:clientData/>
  </xdr:twoCellAnchor>
  <xdr:twoCellAnchor>
    <xdr:from>
      <xdr:col>7</xdr:col>
      <xdr:colOff>542925</xdr:colOff>
      <xdr:row>4</xdr:row>
      <xdr:rowOff>180975</xdr:rowOff>
    </xdr:from>
    <xdr:to>
      <xdr:col>11</xdr:col>
      <xdr:colOff>9525</xdr:colOff>
      <xdr:row>10</xdr:row>
      <xdr:rowOff>28575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D1D157F-0DC2-4B64-20EE-255F5C18D9B1}"/>
            </a:ext>
            <a:ext uri="{147F2762-F138-4A5C-976F-8EAC2B608ADB}">
              <a16:predDERef xmlns:a16="http://schemas.microsoft.com/office/drawing/2014/main" pred="{3EA0EC7F-BCB4-FDDA-B7FC-F84633261F0C}"/>
            </a:ext>
          </a:extLst>
        </xdr:cNvPr>
        <xdr:cNvSpPr txBox="1"/>
      </xdr:nvSpPr>
      <xdr:spPr>
        <a:xfrm>
          <a:off x="4838700" y="971550"/>
          <a:ext cx="19050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>
              <a:solidFill>
                <a:schemeClr val="accent1"/>
              </a:solidFill>
              <a:latin typeface="+mn-lt"/>
              <a:ea typeface="+mn-lt"/>
              <a:cs typeface="+mn-lt"/>
            </a:rPr>
            <a:t>6.29 yrs</a:t>
          </a:r>
        </a:p>
      </xdr:txBody>
    </xdr:sp>
    <xdr:clientData/>
  </xdr:twoCellAnchor>
  <xdr:twoCellAnchor>
    <xdr:from>
      <xdr:col>11</xdr:col>
      <xdr:colOff>342900</xdr:colOff>
      <xdr:row>5</xdr:row>
      <xdr:rowOff>57150</xdr:rowOff>
    </xdr:from>
    <xdr:to>
      <xdr:col>14</xdr:col>
      <xdr:colOff>285750</xdr:colOff>
      <xdr:row>10</xdr:row>
      <xdr:rowOff>9525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BBCEEA8-EB1C-EE6A-C5BB-3B90E53A77A3}"/>
            </a:ext>
            <a:ext uri="{147F2762-F138-4A5C-976F-8EAC2B608ADB}">
              <a16:predDERef xmlns:a16="http://schemas.microsoft.com/office/drawing/2014/main" pred="{7D1D157F-0DC2-4B64-20EE-255F5C18D9B1}"/>
            </a:ext>
          </a:extLst>
        </xdr:cNvPr>
        <xdr:cNvSpPr txBox="1"/>
      </xdr:nvSpPr>
      <xdr:spPr>
        <a:xfrm>
          <a:off x="7077075" y="1038225"/>
          <a:ext cx="1809750" cy="904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>
              <a:solidFill>
                <a:schemeClr val="accent1"/>
              </a:solidFill>
              <a:latin typeface="+mn-lt"/>
              <a:ea typeface="+mn-lt"/>
              <a:cs typeface="+mn-lt"/>
            </a:rPr>
            <a:t>$621.95</a:t>
          </a:r>
        </a:p>
      </xdr:txBody>
    </xdr:sp>
    <xdr:clientData/>
  </xdr:twoCellAnchor>
  <xdr:twoCellAnchor>
    <xdr:from>
      <xdr:col>15</xdr:col>
      <xdr:colOff>19050</xdr:colOff>
      <xdr:row>5</xdr:row>
      <xdr:rowOff>95250</xdr:rowOff>
    </xdr:from>
    <xdr:to>
      <xdr:col>17</xdr:col>
      <xdr:colOff>581025</xdr:colOff>
      <xdr:row>10</xdr:row>
      <xdr:rowOff>76200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82C593C-EDD9-185E-1D3A-17F9A7774EE9}"/>
            </a:ext>
            <a:ext uri="{147F2762-F138-4A5C-976F-8EAC2B608ADB}">
              <a16:predDERef xmlns:a16="http://schemas.microsoft.com/office/drawing/2014/main" pred="{BBBCEEA8-EB1C-EE6A-C5BB-3B90E53A77A3}"/>
            </a:ext>
          </a:extLst>
        </xdr:cNvPr>
        <xdr:cNvSpPr txBox="1"/>
      </xdr:nvSpPr>
      <xdr:spPr>
        <a:xfrm>
          <a:off x="9229725" y="1076325"/>
          <a:ext cx="1838325" cy="933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>
              <a:solidFill>
                <a:schemeClr val="accent1"/>
              </a:solidFill>
              <a:latin typeface="+mn-lt"/>
              <a:ea typeface="+mn-lt"/>
              <a:cs typeface="+mn-lt"/>
            </a:rPr>
            <a:t>160M</a:t>
          </a:r>
        </a:p>
      </xdr:txBody>
    </xdr:sp>
    <xdr:clientData/>
  </xdr:twoCellAnchor>
  <xdr:twoCellAnchor editAs="oneCell">
    <xdr:from>
      <xdr:col>0</xdr:col>
      <xdr:colOff>95250</xdr:colOff>
      <xdr:row>22</xdr:row>
      <xdr:rowOff>66675</xdr:rowOff>
    </xdr:from>
    <xdr:to>
      <xdr:col>9</xdr:col>
      <xdr:colOff>581025</xdr:colOff>
      <xdr:row>25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iscal Year 1">
              <a:extLst>
                <a:ext uri="{FF2B5EF4-FFF2-40B4-BE49-F238E27FC236}">
                  <a16:creationId xmlns:a16="http://schemas.microsoft.com/office/drawing/2014/main" id="{B772CCF6-32C6-684A-449E-6F3D02F86E9D}"/>
                </a:ext>
                <a:ext uri="{147F2762-F138-4A5C-976F-8EAC2B608ADB}">
                  <a16:predDERef xmlns:a16="http://schemas.microsoft.com/office/drawing/2014/main" pred="{E82C593C-EDD9-185E-1D3A-17F9A7774E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scal 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5962650"/>
              <a:ext cx="484822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361950</xdr:colOff>
      <xdr:row>22</xdr:row>
      <xdr:rowOff>66675</xdr:rowOff>
    </xdr:from>
    <xdr:to>
      <xdr:col>18</xdr:col>
      <xdr:colOff>161925</xdr:colOff>
      <xdr:row>26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Fiscal Quarter 1">
              <a:extLst>
                <a:ext uri="{FF2B5EF4-FFF2-40B4-BE49-F238E27FC236}">
                  <a16:creationId xmlns:a16="http://schemas.microsoft.com/office/drawing/2014/main" id="{AAE1CE9C-24A1-963A-7C6D-7A6592DCE6E7}"/>
                </a:ext>
                <a:ext uri="{147F2762-F138-4A5C-976F-8EAC2B608ADB}">
                  <a16:predDERef xmlns:a16="http://schemas.microsoft.com/office/drawing/2014/main" pred="{B772CCF6-32C6-684A-449E-6F3D02F86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scal Quart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94725" y="6000750"/>
              <a:ext cx="1828800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47625</xdr:colOff>
      <xdr:row>0</xdr:row>
      <xdr:rowOff>38100</xdr:rowOff>
    </xdr:from>
    <xdr:to>
      <xdr:col>18</xdr:col>
      <xdr:colOff>161925</xdr:colOff>
      <xdr:row>3</xdr:row>
      <xdr:rowOff>171450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399AF686-90D6-DFEC-266F-C64E74EC5BFC}"/>
            </a:ext>
            <a:ext uri="{147F2762-F138-4A5C-976F-8EAC2B608ADB}">
              <a16:predDERef xmlns:a16="http://schemas.microsoft.com/office/drawing/2014/main" pred="{AAE1CE9C-24A1-963A-7C6D-7A6592DCE6E7}"/>
            </a:ext>
          </a:extLst>
        </xdr:cNvPr>
        <xdr:cNvSpPr/>
      </xdr:nvSpPr>
      <xdr:spPr>
        <a:xfrm>
          <a:off x="47625" y="38100"/>
          <a:ext cx="11210925" cy="73342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104775</xdr:colOff>
      <xdr:row>0</xdr:row>
      <xdr:rowOff>76200</xdr:rowOff>
    </xdr:from>
    <xdr:to>
      <xdr:col>18</xdr:col>
      <xdr:colOff>76200</xdr:colOff>
      <xdr:row>3</xdr:row>
      <xdr:rowOff>57150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30DCF3D-BFB1-2565-EB4B-C3138AB49C1A}"/>
            </a:ext>
            <a:ext uri="{147F2762-F138-4A5C-976F-8EAC2B608ADB}">
              <a16:predDERef xmlns:a16="http://schemas.microsoft.com/office/drawing/2014/main" pred="{399AF686-90D6-DFEC-266F-C64E74EC5BFC}"/>
            </a:ext>
          </a:extLst>
        </xdr:cNvPr>
        <xdr:cNvSpPr txBox="1"/>
      </xdr:nvSpPr>
      <xdr:spPr>
        <a:xfrm>
          <a:off x="104775" y="76200"/>
          <a:ext cx="11068050" cy="58102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3600" b="1">
              <a:solidFill>
                <a:schemeClr val="bg1"/>
              </a:solidFill>
              <a:latin typeface="+mn-lt"/>
              <a:ea typeface="+mn-lt"/>
              <a:cs typeface="+mn-lt"/>
            </a:rPr>
            <a:t>Playstation Lifecycle Analysis</a:t>
          </a:r>
        </a:p>
      </xdr:txBody>
    </xdr:sp>
    <xdr:clientData/>
  </xdr:twoCellAnchor>
  <xdr:twoCellAnchor>
    <xdr:from>
      <xdr:col>0</xdr:col>
      <xdr:colOff>257175</xdr:colOff>
      <xdr:row>4</xdr:row>
      <xdr:rowOff>161925</xdr:rowOff>
    </xdr:from>
    <xdr:to>
      <xdr:col>3</xdr:col>
      <xdr:colOff>190500</xdr:colOff>
      <xdr:row>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F679AA-5784-3382-B439-EA95E1AC4696}"/>
            </a:ext>
            <a:ext uri="{147F2762-F138-4A5C-976F-8EAC2B608ADB}">
              <a16:predDERef xmlns:a16="http://schemas.microsoft.com/office/drawing/2014/main" pred="{930DCF3D-BFB1-2565-EB4B-C3138AB49C1A}"/>
            </a:ext>
          </a:extLst>
        </xdr:cNvPr>
        <xdr:cNvSpPr txBox="1"/>
      </xdr:nvSpPr>
      <xdr:spPr>
        <a:xfrm>
          <a:off x="257175" y="952500"/>
          <a:ext cx="17907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chemeClr val="accent3"/>
              </a:solidFill>
              <a:latin typeface="+mn-lt"/>
              <a:ea typeface="+mn-lt"/>
              <a:cs typeface="+mn-lt"/>
            </a:rPr>
            <a:t>Total PS5 Units Sold</a:t>
          </a:r>
        </a:p>
      </xdr:txBody>
    </xdr:sp>
    <xdr:clientData/>
  </xdr:twoCellAnchor>
  <xdr:twoCellAnchor>
    <xdr:from>
      <xdr:col>0</xdr:col>
      <xdr:colOff>523875</xdr:colOff>
      <xdr:row>8</xdr:row>
      <xdr:rowOff>123825</xdr:rowOff>
    </xdr:from>
    <xdr:to>
      <xdr:col>2</xdr:col>
      <xdr:colOff>533400</xdr:colOff>
      <xdr:row>9</xdr:row>
      <xdr:rowOff>180975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2B6BA8B-B891-59A1-19C7-803778EB6500}"/>
            </a:ext>
            <a:ext uri="{147F2762-F138-4A5C-976F-8EAC2B608ADB}">
              <a16:predDERef xmlns:a16="http://schemas.microsoft.com/office/drawing/2014/main" pred="{80F679AA-5784-3382-B439-EA95E1AC4696}"/>
            </a:ext>
          </a:extLst>
        </xdr:cNvPr>
        <xdr:cNvSpPr txBox="1"/>
      </xdr:nvSpPr>
      <xdr:spPr>
        <a:xfrm>
          <a:off x="523875" y="1676400"/>
          <a:ext cx="1257300" cy="2476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>
              <a:solidFill>
                <a:schemeClr val="accent3"/>
              </a:solidFill>
              <a:latin typeface="+mn-lt"/>
              <a:ea typeface="+mn-lt"/>
              <a:cs typeface="+mn-lt"/>
            </a:rPr>
            <a:t>FY2020-FY2025</a:t>
          </a:r>
        </a:p>
      </xdr:txBody>
    </xdr:sp>
    <xdr:clientData/>
  </xdr:twoCellAnchor>
  <xdr:twoCellAnchor>
    <xdr:from>
      <xdr:col>3</xdr:col>
      <xdr:colOff>561975</xdr:colOff>
      <xdr:row>5</xdr:row>
      <xdr:rowOff>9525</xdr:rowOff>
    </xdr:from>
    <xdr:to>
      <xdr:col>7</xdr:col>
      <xdr:colOff>247650</xdr:colOff>
      <xdr:row>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F50C01-32D0-1537-4690-17F795065B48}"/>
            </a:ext>
            <a:ext uri="{147F2762-F138-4A5C-976F-8EAC2B608ADB}">
              <a16:predDERef xmlns:a16="http://schemas.microsoft.com/office/drawing/2014/main" pred="{92B6BA8B-B891-59A1-19C7-803778EB6500}"/>
            </a:ext>
          </a:extLst>
        </xdr:cNvPr>
        <xdr:cNvSpPr txBox="1"/>
      </xdr:nvSpPr>
      <xdr:spPr>
        <a:xfrm>
          <a:off x="2419350" y="990600"/>
          <a:ext cx="212407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chemeClr val="accent3"/>
              </a:solidFill>
              <a:latin typeface="+mn-lt"/>
              <a:ea typeface="+mn-lt"/>
              <a:cs typeface="+mn-lt"/>
            </a:rPr>
            <a:t>PS5 Highest Quarter Sales</a:t>
          </a:r>
        </a:p>
      </xdr:txBody>
    </xdr:sp>
    <xdr:clientData/>
  </xdr:twoCellAnchor>
  <xdr:twoCellAnchor>
    <xdr:from>
      <xdr:col>4</xdr:col>
      <xdr:colOff>457200</xdr:colOff>
      <xdr:row>8</xdr:row>
      <xdr:rowOff>152400</xdr:rowOff>
    </xdr:from>
    <xdr:to>
      <xdr:col>6</xdr:col>
      <xdr:colOff>190500</xdr:colOff>
      <xdr:row>10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AF452B2-595C-FBC3-E641-319AF9912C2B}"/>
            </a:ext>
            <a:ext uri="{147F2762-F138-4A5C-976F-8EAC2B608ADB}">
              <a16:predDERef xmlns:a16="http://schemas.microsoft.com/office/drawing/2014/main" pred="{DCF50C01-32D0-1537-4690-17F795065B48}"/>
            </a:ext>
          </a:extLst>
        </xdr:cNvPr>
        <xdr:cNvSpPr txBox="1"/>
      </xdr:nvSpPr>
      <xdr:spPr>
        <a:xfrm>
          <a:off x="2924175" y="1704975"/>
          <a:ext cx="95250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0">
              <a:solidFill>
                <a:schemeClr val="accent3"/>
              </a:solidFill>
              <a:latin typeface="+mn-lt"/>
              <a:ea typeface="+mn-lt"/>
              <a:cs typeface="+mn-lt"/>
            </a:rPr>
            <a:t>FY2024 Q3</a:t>
          </a:r>
        </a:p>
      </xdr:txBody>
    </xdr:sp>
    <xdr:clientData/>
  </xdr:twoCellAnchor>
  <xdr:twoCellAnchor>
    <xdr:from>
      <xdr:col>8</xdr:col>
      <xdr:colOff>47625</xdr:colOff>
      <xdr:row>5</xdr:row>
      <xdr:rowOff>28575</xdr:rowOff>
    </xdr:from>
    <xdr:to>
      <xdr:col>11</xdr:col>
      <xdr:colOff>66675</xdr:colOff>
      <xdr:row>6</xdr:row>
      <xdr:rowOff>95250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E778404-DFA6-0797-9A17-C7C762D51995}"/>
            </a:ext>
            <a:ext uri="{147F2762-F138-4A5C-976F-8EAC2B608ADB}">
              <a16:predDERef xmlns:a16="http://schemas.microsoft.com/office/drawing/2014/main" pred="{BAF452B2-595C-FBC3-E641-319AF9912C2B}"/>
            </a:ext>
          </a:extLst>
        </xdr:cNvPr>
        <xdr:cNvSpPr txBox="1"/>
      </xdr:nvSpPr>
      <xdr:spPr>
        <a:xfrm>
          <a:off x="4953000" y="1009650"/>
          <a:ext cx="1847850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3"/>
              </a:solidFill>
              <a:latin typeface="+mn-lt"/>
              <a:ea typeface="+mn-lt"/>
              <a:cs typeface="+mn-lt"/>
            </a:rPr>
            <a:t>Average Lifecyle Years</a:t>
          </a:r>
        </a:p>
      </xdr:txBody>
    </xdr:sp>
    <xdr:clientData/>
  </xdr:twoCellAnchor>
  <xdr:twoCellAnchor>
    <xdr:from>
      <xdr:col>8</xdr:col>
      <xdr:colOff>381000</xdr:colOff>
      <xdr:row>8</xdr:row>
      <xdr:rowOff>133350</xdr:rowOff>
    </xdr:from>
    <xdr:to>
      <xdr:col>10</xdr:col>
      <xdr:colOff>114300</xdr:colOff>
      <xdr:row>10</xdr:row>
      <xdr:rowOff>9525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569C8A-DA24-7788-C565-363B990D9CE4}"/>
            </a:ext>
            <a:ext uri="{147F2762-F138-4A5C-976F-8EAC2B608ADB}">
              <a16:predDERef xmlns:a16="http://schemas.microsoft.com/office/drawing/2014/main" pred="{5E778404-DFA6-0797-9A17-C7C762D51995}"/>
            </a:ext>
          </a:extLst>
        </xdr:cNvPr>
        <xdr:cNvSpPr txBox="1"/>
      </xdr:nvSpPr>
      <xdr:spPr>
        <a:xfrm>
          <a:off x="5286375" y="1685925"/>
          <a:ext cx="952500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>
              <a:solidFill>
                <a:schemeClr val="accent3"/>
              </a:solidFill>
              <a:latin typeface="+mn-lt"/>
              <a:ea typeface="+mn-lt"/>
              <a:cs typeface="+mn-lt"/>
            </a:rPr>
            <a:t>PS1 -&gt; PS5</a:t>
          </a:r>
        </a:p>
      </xdr:txBody>
    </xdr:sp>
    <xdr:clientData/>
  </xdr:twoCellAnchor>
  <xdr:twoCellAnchor>
    <xdr:from>
      <xdr:col>11</xdr:col>
      <xdr:colOff>419100</xdr:colOff>
      <xdr:row>5</xdr:row>
      <xdr:rowOff>38100</xdr:rowOff>
    </xdr:from>
    <xdr:to>
      <xdr:col>14</xdr:col>
      <xdr:colOff>419100</xdr:colOff>
      <xdr:row>6</xdr:row>
      <xdr:rowOff>95250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BBB82A0-17D9-6BC1-91B9-43D4AB324714}"/>
            </a:ext>
            <a:ext uri="{147F2762-F138-4A5C-976F-8EAC2B608ADB}">
              <a16:predDERef xmlns:a16="http://schemas.microsoft.com/office/drawing/2014/main" pred="{D4569C8A-DA24-7788-C565-363B990D9CE4}"/>
            </a:ext>
          </a:extLst>
        </xdr:cNvPr>
        <xdr:cNvSpPr txBox="1"/>
      </xdr:nvSpPr>
      <xdr:spPr>
        <a:xfrm>
          <a:off x="7153275" y="1019175"/>
          <a:ext cx="18669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3"/>
              </a:solidFill>
              <a:latin typeface="+mn-lt"/>
              <a:ea typeface="+mn-lt"/>
              <a:cs typeface="+mn-lt"/>
            </a:rPr>
            <a:t>PS5 Real Launch Price</a:t>
          </a:r>
        </a:p>
      </xdr:txBody>
    </xdr:sp>
    <xdr:clientData/>
  </xdr:twoCellAnchor>
  <xdr:twoCellAnchor>
    <xdr:from>
      <xdr:col>11</xdr:col>
      <xdr:colOff>314325</xdr:colOff>
      <xdr:row>8</xdr:row>
      <xdr:rowOff>104775</xdr:rowOff>
    </xdr:from>
    <xdr:to>
      <xdr:col>14</xdr:col>
      <xdr:colOff>323850</xdr:colOff>
      <xdr:row>9</xdr:row>
      <xdr:rowOff>171450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7B53059-6502-DF2B-D0E2-4264BE17C5AB}"/>
            </a:ext>
            <a:ext uri="{147F2762-F138-4A5C-976F-8EAC2B608ADB}">
              <a16:predDERef xmlns:a16="http://schemas.microsoft.com/office/drawing/2014/main" pred="{8BBB82A0-17D9-6BC1-91B9-43D4AB324714}"/>
            </a:ext>
          </a:extLst>
        </xdr:cNvPr>
        <xdr:cNvSpPr txBox="1"/>
      </xdr:nvSpPr>
      <xdr:spPr>
        <a:xfrm>
          <a:off x="7048500" y="1657350"/>
          <a:ext cx="1876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>
              <a:solidFill>
                <a:schemeClr val="accent3"/>
              </a:solidFill>
              <a:latin typeface="+mn-lt"/>
              <a:ea typeface="+mn-lt"/>
              <a:cs typeface="+mn-lt"/>
            </a:rPr>
            <a:t>2025 USD(Inflation-Adj)</a:t>
          </a:r>
        </a:p>
      </xdr:txBody>
    </xdr:sp>
    <xdr:clientData/>
  </xdr:twoCellAnchor>
  <xdr:twoCellAnchor>
    <xdr:from>
      <xdr:col>15</xdr:col>
      <xdr:colOff>0</xdr:colOff>
      <xdr:row>5</xdr:row>
      <xdr:rowOff>47625</xdr:rowOff>
    </xdr:from>
    <xdr:to>
      <xdr:col>17</xdr:col>
      <xdr:colOff>542925</xdr:colOff>
      <xdr:row>6</xdr:row>
      <xdr:rowOff>76200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947B205-8397-5DDB-6E9E-F8EF22FC6193}"/>
            </a:ext>
            <a:ext uri="{147F2762-F138-4A5C-976F-8EAC2B608ADB}">
              <a16:predDERef xmlns:a16="http://schemas.microsoft.com/office/drawing/2014/main" pred="{C7B53059-6502-DF2B-D0E2-4264BE17C5AB}"/>
            </a:ext>
          </a:extLst>
        </xdr:cNvPr>
        <xdr:cNvSpPr txBox="1"/>
      </xdr:nvSpPr>
      <xdr:spPr>
        <a:xfrm>
          <a:off x="9210675" y="1028700"/>
          <a:ext cx="181927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chemeClr val="accent3"/>
              </a:solidFill>
              <a:latin typeface="+mn-lt"/>
              <a:ea typeface="+mn-lt"/>
              <a:cs typeface="+mn-lt"/>
            </a:rPr>
            <a:t>Highest Lifetime Sales</a:t>
          </a:r>
        </a:p>
      </xdr:txBody>
    </xdr:sp>
    <xdr:clientData/>
  </xdr:twoCellAnchor>
  <xdr:twoCellAnchor>
    <xdr:from>
      <xdr:col>16</xdr:col>
      <xdr:colOff>47625</xdr:colOff>
      <xdr:row>8</xdr:row>
      <xdr:rowOff>161925</xdr:rowOff>
    </xdr:from>
    <xdr:to>
      <xdr:col>16</xdr:col>
      <xdr:colOff>514350</xdr:colOff>
      <xdr:row>10</xdr:row>
      <xdr:rowOff>38100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3DFD02B-55DB-FD8D-5C17-949F4682B00F}"/>
            </a:ext>
            <a:ext uri="{147F2762-F138-4A5C-976F-8EAC2B608ADB}">
              <a16:predDERef xmlns:a16="http://schemas.microsoft.com/office/drawing/2014/main" pred="{6947B205-8397-5DDB-6E9E-F8EF22FC6193}"/>
            </a:ext>
          </a:extLst>
        </xdr:cNvPr>
        <xdr:cNvSpPr txBox="1"/>
      </xdr:nvSpPr>
      <xdr:spPr>
        <a:xfrm>
          <a:off x="9925050" y="1714500"/>
          <a:ext cx="4667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>
              <a:solidFill>
                <a:schemeClr val="accent3"/>
              </a:solidFill>
              <a:latin typeface="+mn-lt"/>
              <a:ea typeface="+mn-lt"/>
              <a:cs typeface="+mn-lt"/>
            </a:rPr>
            <a:t>PS2</a:t>
          </a:r>
        </a:p>
      </xdr:txBody>
    </xdr:sp>
    <xdr:clientData/>
  </xdr:twoCellAnchor>
  <xdr:twoCellAnchor>
    <xdr:from>
      <xdr:col>12</xdr:col>
      <xdr:colOff>190500</xdr:colOff>
      <xdr:row>11</xdr:row>
      <xdr:rowOff>76200</xdr:rowOff>
    </xdr:from>
    <xdr:to>
      <xdr:col>18</xdr:col>
      <xdr:colOff>171450</xdr:colOff>
      <xdr:row>22</xdr:row>
      <xdr:rowOff>9525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3F4A1A1B-2B7E-8D46-844D-0A5BD1609B11}"/>
            </a:ext>
            <a:ext uri="{147F2762-F138-4A5C-976F-8EAC2B608ADB}">
              <a16:predDERef xmlns:a16="http://schemas.microsoft.com/office/drawing/2014/main" pred="{D3DFD02B-55DB-FD8D-5C17-949F4682B00F}"/>
            </a:ext>
          </a:extLst>
        </xdr:cNvPr>
        <xdr:cNvSpPr/>
      </xdr:nvSpPr>
      <xdr:spPr>
        <a:xfrm>
          <a:off x="7534275" y="2200275"/>
          <a:ext cx="3733800" cy="20288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314325</xdr:colOff>
      <xdr:row>11</xdr:row>
      <xdr:rowOff>161925</xdr:rowOff>
    </xdr:from>
    <xdr:to>
      <xdr:col>18</xdr:col>
      <xdr:colOff>57150</xdr:colOff>
      <xdr:row>21</xdr:row>
      <xdr:rowOff>104775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2DFDABF-8110-40BE-BFFA-F6FE0FC06451}"/>
            </a:ext>
            <a:ext uri="{147F2762-F138-4A5C-976F-8EAC2B608ADB}">
              <a16:predDERef xmlns:a16="http://schemas.microsoft.com/office/drawing/2014/main" pred="{3F4A1A1B-2B7E-8D46-844D-0A5BD1609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26</xdr:row>
      <xdr:rowOff>47625</xdr:rowOff>
    </xdr:from>
    <xdr:to>
      <xdr:col>6</xdr:col>
      <xdr:colOff>95250</xdr:colOff>
      <xdr:row>37</xdr:row>
      <xdr:rowOff>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5D4BB3E8-B469-AC41-3CDC-F00CE7AAE6D1}"/>
            </a:ext>
            <a:ext uri="{147F2762-F138-4A5C-976F-8EAC2B608ADB}">
              <a16:predDERef xmlns:a16="http://schemas.microsoft.com/office/drawing/2014/main" pred="{82DFDABF-8110-40BE-BFFA-F6FE0FC06451}"/>
            </a:ext>
          </a:extLst>
        </xdr:cNvPr>
        <xdr:cNvSpPr/>
      </xdr:nvSpPr>
      <xdr:spPr>
        <a:xfrm>
          <a:off x="57150" y="5029200"/>
          <a:ext cx="3724275" cy="2047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209550</xdr:colOff>
      <xdr:row>26</xdr:row>
      <xdr:rowOff>123825</xdr:rowOff>
    </xdr:from>
    <xdr:to>
      <xdr:col>5</xdr:col>
      <xdr:colOff>590550</xdr:colOff>
      <xdr:row>36</xdr:row>
      <xdr:rowOff>104775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D3AB8F5-90B0-4810-BC4E-D58F9EBAE59D}"/>
            </a:ext>
            <a:ext uri="{147F2762-F138-4A5C-976F-8EAC2B608ADB}">
              <a16:predDERef xmlns:a16="http://schemas.microsoft.com/office/drawing/2014/main" pred="{5D4BB3E8-B469-AC41-3CDC-F00CE7AAE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123825</xdr:colOff>
      <xdr:row>26</xdr:row>
      <xdr:rowOff>66675</xdr:rowOff>
    </xdr:from>
    <xdr:to>
      <xdr:col>12</xdr:col>
      <xdr:colOff>190500</xdr:colOff>
      <xdr:row>37</xdr:row>
      <xdr:rowOff>19050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C7E652A5-5D66-D335-D896-E8B38EF1580B}"/>
            </a:ext>
            <a:ext uri="{147F2762-F138-4A5C-976F-8EAC2B608ADB}">
              <a16:predDERef xmlns:a16="http://schemas.microsoft.com/office/drawing/2014/main" pred="{5D3AB8F5-90B0-4810-BC4E-D58F9EBAE59D}"/>
            </a:ext>
          </a:extLst>
        </xdr:cNvPr>
        <xdr:cNvSpPr/>
      </xdr:nvSpPr>
      <xdr:spPr>
        <a:xfrm>
          <a:off x="3810000" y="5048250"/>
          <a:ext cx="3724275" cy="2047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238125</xdr:colOff>
      <xdr:row>26</xdr:row>
      <xdr:rowOff>161925</xdr:rowOff>
    </xdr:from>
    <xdr:to>
      <xdr:col>12</xdr:col>
      <xdr:colOff>76200</xdr:colOff>
      <xdr:row>36</xdr:row>
      <xdr:rowOff>95250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56F28F7-6A10-4D78-BE1A-CDECD36596A1}"/>
            </a:ext>
            <a:ext uri="{147F2762-F138-4A5C-976F-8EAC2B608ADB}">
              <a16:predDERef xmlns:a16="http://schemas.microsoft.com/office/drawing/2014/main" pred="{C7E652A5-5D66-D335-D896-E8B38EF15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228600</xdr:colOff>
      <xdr:row>26</xdr:row>
      <xdr:rowOff>57150</xdr:rowOff>
    </xdr:from>
    <xdr:to>
      <xdr:col>18</xdr:col>
      <xdr:colOff>209550</xdr:colOff>
      <xdr:row>37</xdr:row>
      <xdr:rowOff>9525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5812087F-D889-8DF1-5986-954116006960}"/>
            </a:ext>
            <a:ext uri="{147F2762-F138-4A5C-976F-8EAC2B608ADB}">
              <a16:predDERef xmlns:a16="http://schemas.microsoft.com/office/drawing/2014/main" pred="{B56F28F7-6A10-4D78-BE1A-CDECD36596A1}"/>
            </a:ext>
          </a:extLst>
        </xdr:cNvPr>
        <xdr:cNvSpPr/>
      </xdr:nvSpPr>
      <xdr:spPr>
        <a:xfrm>
          <a:off x="7572375" y="5038725"/>
          <a:ext cx="3733800" cy="2047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323850</xdr:colOff>
      <xdr:row>27</xdr:row>
      <xdr:rowOff>9525</xdr:rowOff>
    </xdr:from>
    <xdr:to>
      <xdr:col>18</xdr:col>
      <xdr:colOff>114300</xdr:colOff>
      <xdr:row>36</xdr:row>
      <xdr:rowOff>104775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9F39CA0-A7E3-44D3-AC30-BCC7A165813F}"/>
            </a:ext>
            <a:ext uri="{147F2762-F138-4A5C-976F-8EAC2B608ADB}">
              <a16:predDERef xmlns:a16="http://schemas.microsoft.com/office/drawing/2014/main" pred="{5812087F-D889-8DF1-5986-954116006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37</xdr:row>
      <xdr:rowOff>95250</xdr:rowOff>
    </xdr:from>
    <xdr:to>
      <xdr:col>18</xdr:col>
      <xdr:colOff>228600</xdr:colOff>
      <xdr:row>41</xdr:row>
      <xdr:rowOff>57150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74F92143-7999-2968-7C23-9D01F8BCF907}"/>
            </a:ext>
            <a:ext uri="{147F2762-F138-4A5C-976F-8EAC2B608ADB}">
              <a16:predDERef xmlns:a16="http://schemas.microsoft.com/office/drawing/2014/main" pred="{69F39CA0-A7E3-44D3-AC30-BCC7A165813F}"/>
            </a:ext>
          </a:extLst>
        </xdr:cNvPr>
        <xdr:cNvSpPr/>
      </xdr:nvSpPr>
      <xdr:spPr>
        <a:xfrm>
          <a:off x="47625" y="7172325"/>
          <a:ext cx="11277600" cy="72390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180975</xdr:colOff>
      <xdr:row>37</xdr:row>
      <xdr:rowOff>133350</xdr:rowOff>
    </xdr:from>
    <xdr:to>
      <xdr:col>18</xdr:col>
      <xdr:colOff>161925</xdr:colOff>
      <xdr:row>41</xdr:row>
      <xdr:rowOff>9525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3DF5F27-684C-842C-5D57-7C4D2E506E4D}"/>
            </a:ext>
            <a:ext uri="{147F2762-F138-4A5C-976F-8EAC2B608ADB}">
              <a16:predDERef xmlns:a16="http://schemas.microsoft.com/office/drawing/2014/main" pred="{74F92143-7999-2968-7C23-9D01F8BCF907}"/>
            </a:ext>
          </a:extLst>
        </xdr:cNvPr>
        <xdr:cNvSpPr txBox="1"/>
      </xdr:nvSpPr>
      <xdr:spPr>
        <a:xfrm>
          <a:off x="180975" y="7210425"/>
          <a:ext cx="11077575" cy="63817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>
              <a:solidFill>
                <a:schemeClr val="bg1"/>
              </a:solidFill>
              <a:latin typeface="+mn-lt"/>
              <a:ea typeface="+mn-lt"/>
              <a:cs typeface="+mn-lt"/>
            </a:rPr>
            <a:t>Bonus: Playstation 6 Scenario Analysis</a:t>
          </a:r>
        </a:p>
      </xdr:txBody>
    </xdr:sp>
    <xdr:clientData/>
  </xdr:twoCellAnchor>
  <xdr:twoCellAnchor>
    <xdr:from>
      <xdr:col>0</xdr:col>
      <xdr:colOff>66675</xdr:colOff>
      <xdr:row>41</xdr:row>
      <xdr:rowOff>104775</xdr:rowOff>
    </xdr:from>
    <xdr:to>
      <xdr:col>6</xdr:col>
      <xdr:colOff>104775</xdr:colOff>
      <xdr:row>52</xdr:row>
      <xdr:rowOff>57150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D05455A1-6704-977F-F00A-147A81C3507B}"/>
            </a:ext>
            <a:ext uri="{147F2762-F138-4A5C-976F-8EAC2B608ADB}">
              <a16:predDERef xmlns:a16="http://schemas.microsoft.com/office/drawing/2014/main" pred="{83DF5F27-684C-842C-5D57-7C4D2E506E4D}"/>
            </a:ext>
          </a:extLst>
        </xdr:cNvPr>
        <xdr:cNvSpPr/>
      </xdr:nvSpPr>
      <xdr:spPr>
        <a:xfrm>
          <a:off x="66675" y="7943850"/>
          <a:ext cx="3724275" cy="2047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180975</xdr:colOff>
      <xdr:row>41</xdr:row>
      <xdr:rowOff>180975</xdr:rowOff>
    </xdr:from>
    <xdr:to>
      <xdr:col>5</xdr:col>
      <xdr:colOff>590550</xdr:colOff>
      <xdr:row>51</xdr:row>
      <xdr:rowOff>152400</xdr:rowOff>
    </xdr:to>
    <xdr:graphicFrame macro="">
      <xdr:nvGraphicFramePr>
        <xdr:cNvPr id="49" name="Chart 3">
          <a:extLst>
            <a:ext uri="{FF2B5EF4-FFF2-40B4-BE49-F238E27FC236}">
              <a16:creationId xmlns:a16="http://schemas.microsoft.com/office/drawing/2014/main" id="{D7D36D34-B0EA-4B97-A3BA-1C63EC38CAE7}"/>
            </a:ext>
            <a:ext uri="{147F2762-F138-4A5C-976F-8EAC2B608ADB}">
              <a16:predDERef xmlns:a16="http://schemas.microsoft.com/office/drawing/2014/main" pred="{D05455A1-6704-977F-F00A-147A81C35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152400</xdr:colOff>
      <xdr:row>41</xdr:row>
      <xdr:rowOff>161925</xdr:rowOff>
    </xdr:from>
    <xdr:to>
      <xdr:col>18</xdr:col>
      <xdr:colOff>247650</xdr:colOff>
      <xdr:row>48</xdr:row>
      <xdr:rowOff>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7546817A-B82D-724D-9CCE-38EBC4CD4A99}"/>
            </a:ext>
            <a:ext uri="{147F2762-F138-4A5C-976F-8EAC2B608ADB}">
              <a16:predDERef xmlns:a16="http://schemas.microsoft.com/office/drawing/2014/main" pred="{D7D36D34-B0EA-4B97-A3BA-1C63EC38CAE7}"/>
            </a:ext>
          </a:extLst>
        </xdr:cNvPr>
        <xdr:cNvSpPr/>
      </xdr:nvSpPr>
      <xdr:spPr>
        <a:xfrm>
          <a:off x="3838575" y="8001000"/>
          <a:ext cx="7505700" cy="11715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6</xdr:col>
      <xdr:colOff>219075</xdr:colOff>
      <xdr:row>42</xdr:row>
      <xdr:rowOff>9525</xdr:rowOff>
    </xdr:from>
    <xdr:to>
      <xdr:col>18</xdr:col>
      <xdr:colOff>133350</xdr:colOff>
      <xdr:row>47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2F2E0D-71DC-96BB-6698-8DA9891C51FC}"/>
            </a:ext>
            <a:ext uri="{147F2762-F138-4A5C-976F-8EAC2B608ADB}">
              <a16:predDERef xmlns:a16="http://schemas.microsoft.com/office/drawing/2014/main" pred="{7546817A-B82D-724D-9CCE-38EBC4CD4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05250" y="8039100"/>
          <a:ext cx="7324725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48</xdr:row>
      <xdr:rowOff>38100</xdr:rowOff>
    </xdr:from>
    <xdr:to>
      <xdr:col>18</xdr:col>
      <xdr:colOff>266700</xdr:colOff>
      <xdr:row>52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DB13E00-4722-FA6C-9D4A-3CF6E782C170}"/>
            </a:ext>
            <a:ext uri="{147F2762-F138-4A5C-976F-8EAC2B608ADB}">
              <a16:predDERef xmlns:a16="http://schemas.microsoft.com/office/drawing/2014/main" pred="{055291D6-150C-66DD-FF63-018A6EF2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9210675"/>
          <a:ext cx="7505700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42</xdr:row>
      <xdr:rowOff>104775</xdr:rowOff>
    </xdr:from>
    <xdr:to>
      <xdr:col>15</xdr:col>
      <xdr:colOff>47625</xdr:colOff>
      <xdr:row>56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018339E-189A-997A-EB68-438421A00693}"/>
            </a:ext>
            <a:ext uri="{147F2762-F138-4A5C-976F-8EAC2B608ADB}">
              <a16:predDERef xmlns:a16="http://schemas.microsoft.com/office/drawing/2014/main" pred="{E4A17510-3CF7-F6F1-DAAA-00448A723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1600200</xdr:colOff>
      <xdr:row>42</xdr:row>
      <xdr:rowOff>123825</xdr:rowOff>
    </xdr:from>
    <xdr:to>
      <xdr:col>7</xdr:col>
      <xdr:colOff>447675</xdr:colOff>
      <xdr:row>57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3E7721-6A9D-891B-F367-84042E474783}"/>
            </a:ext>
            <a:ext uri="{147F2762-F138-4A5C-976F-8EAC2B608ADB}">
              <a16:predDERef xmlns:a16="http://schemas.microsoft.com/office/drawing/2014/main" pred="{D018339E-189A-997A-EB68-438421A00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123825</xdr:colOff>
      <xdr:row>42</xdr:row>
      <xdr:rowOff>114300</xdr:rowOff>
    </xdr:from>
    <xdr:to>
      <xdr:col>26</xdr:col>
      <xdr:colOff>228600</xdr:colOff>
      <xdr:row>57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1DB13C-DA4A-B45C-ACE8-C96F46839378}"/>
            </a:ext>
            <a:ext uri="{147F2762-F138-4A5C-976F-8EAC2B608ADB}">
              <a16:predDERef xmlns:a16="http://schemas.microsoft.com/office/drawing/2014/main" pred="{0A3E7721-6A9D-891B-F367-84042E474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47625</xdr:colOff>
      <xdr:row>34</xdr:row>
      <xdr:rowOff>57150</xdr:rowOff>
    </xdr:from>
    <xdr:to>
      <xdr:col>8</xdr:col>
      <xdr:colOff>295275</xdr:colOff>
      <xdr:row>38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Fiscal Year">
              <a:extLst>
                <a:ext uri="{FF2B5EF4-FFF2-40B4-BE49-F238E27FC236}">
                  <a16:creationId xmlns:a16="http://schemas.microsoft.com/office/drawing/2014/main" id="{A724E5E5-B02A-6C7F-2382-F885EC9ABFC6}"/>
                </a:ext>
                <a:ext uri="{147F2762-F138-4A5C-976F-8EAC2B608ADB}">
                  <a16:predDERef xmlns:a16="http://schemas.microsoft.com/office/drawing/2014/main" pred="{9B1DB13C-DA4A-B45C-ACE8-C96F46839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scal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425" y="6534150"/>
              <a:ext cx="4762500" cy="73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390525</xdr:colOff>
      <xdr:row>35</xdr:row>
      <xdr:rowOff>95250</xdr:rowOff>
    </xdr:from>
    <xdr:to>
      <xdr:col>9</xdr:col>
      <xdr:colOff>1428750</xdr:colOff>
      <xdr:row>39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Fiscal Quarter">
              <a:extLst>
                <a:ext uri="{FF2B5EF4-FFF2-40B4-BE49-F238E27FC236}">
                  <a16:creationId xmlns:a16="http://schemas.microsoft.com/office/drawing/2014/main" id="{E89D6689-F8F2-DA4B-3B1B-50F532D9ED3E}"/>
                </a:ext>
                <a:ext uri="{147F2762-F138-4A5C-976F-8EAC2B608ADB}">
                  <a16:predDERef xmlns:a16="http://schemas.microsoft.com/office/drawing/2014/main" pred="{A724E5E5-B02A-6C7F-2382-F885EC9AB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scal 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6762750"/>
              <a:ext cx="1943100" cy="73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1428750</xdr:colOff>
      <xdr:row>12</xdr:row>
      <xdr:rowOff>57150</xdr:rowOff>
    </xdr:from>
    <xdr:to>
      <xdr:col>9</xdr:col>
      <xdr:colOff>66675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401A1-5789-4A84-D99B-D8A080B50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6.052450115742" createdVersion="8" refreshedVersion="8" minRefreshableVersion="3" recordCount="23" xr:uid="{BBDE298C-8EEB-4F78-817D-F1B2E94DE91B}">
  <cacheSource type="worksheet">
    <worksheetSource ref="A1:J24" sheet="PS5 Quarterly Sales"/>
  </cacheSource>
  <cacheFields count="10">
    <cacheField name="Fiscal 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Fiscal Quarter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Period End" numFmtId="14">
      <sharedItems containsSemiMixedTypes="0" containsNonDate="0" containsDate="1" containsString="0" minDate="2020-12-31T00:00:00" maxDate="2026-07-01T00:00:00" count="23"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  <d v="2024-03-31T00:00:00"/>
        <d v="2024-06-30T00:00:00"/>
        <d v="2024-09-30T00:00:00"/>
        <d v="2024-12-31T00:00:00"/>
        <d v="2025-03-31T00:00:00"/>
        <d v="2025-06-30T00:00:00"/>
        <d v="2025-09-30T00:00:00"/>
        <d v="2025-12-31T00:00:00"/>
        <d v="2026-03-31T00:00:00"/>
        <d v="2026-06-30T00:00:00"/>
      </sharedItems>
    </cacheField>
    <cacheField name="Units Sold" numFmtId="0">
      <sharedItems containsSemiMixedTypes="0" containsString="0" containsNumber="1" containsInteger="1" minValue="1500000" maxValue="9500000"/>
    </cacheField>
    <cacheField name="Quarterly Sales(M)" numFmtId="0">
      <sharedItems containsSemiMixedTypes="0" containsString="0" containsNumber="1" minValue="1.5" maxValue="9.5"/>
    </cacheField>
    <cacheField name="Cumulative Units Sold" numFmtId="0">
      <sharedItems containsSemiMixedTypes="0" containsString="0" containsNumber="1" containsInteger="1" minValue="4500000" maxValue="95300000"/>
    </cacheField>
    <cacheField name="Cumulative Sales(M)" numFmtId="0">
      <sharedItems containsSemiMixedTypes="0" containsString="0" containsNumber="1" minValue="4.5" maxValue="95.3"/>
    </cacheField>
    <cacheField name="QoQ Growth(%)" numFmtId="0">
      <sharedItems containsMixedTypes="1" containsNumber="1" minValue="-81.010000000000005" maxValue="150"/>
    </cacheField>
    <cacheField name="YoY Growth(%)" numFmtId="0">
      <sharedItems containsMixedTypes="1" containsNumber="1" minValue="-46.43" maxValue="215" count="20">
        <s v="NULL"/>
        <n v="-13.33"/>
        <n v="-39.39"/>
        <n v="4.3499999999999996"/>
        <n v="0"/>
        <n v="82.05"/>
        <n v="215"/>
        <n v="37.5"/>
        <n v="48.48"/>
        <n v="15.49"/>
        <n v="-28.57"/>
        <n v="-27.27"/>
        <n v="-22.45"/>
        <n v="15.85"/>
        <n v="-37.78"/>
        <n v="4.17"/>
        <n v="5.26"/>
        <n v="-16.84"/>
        <n v="-46.43"/>
        <n v="-36"/>
      </sharedItems>
    </cacheField>
    <cacheField name="Performance Category" numFmtId="0">
      <sharedItems/>
    </cacheField>
  </cacheFields>
  <extLst>
    <ext xmlns:x14="http://schemas.microsoft.com/office/spreadsheetml/2009/9/main" uri="{725AE2AE-9491-48be-B2B4-4EB974FC3084}">
      <x14:pivotCacheDefinition pivotCacheId="144137918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n v="4500000"/>
    <n v="4.5"/>
    <n v="4500000"/>
    <n v="4.5"/>
    <s v="NULL"/>
    <x v="0"/>
    <s v="No Prior-Year Comparison"/>
  </r>
  <r>
    <x v="0"/>
    <x v="1"/>
    <x v="1"/>
    <n v="3300000"/>
    <n v="3.3"/>
    <n v="7800000"/>
    <n v="7.8"/>
    <n v="-26.67"/>
    <x v="0"/>
    <s v="No Prior-Year Comparison"/>
  </r>
  <r>
    <x v="1"/>
    <x v="2"/>
    <x v="2"/>
    <n v="2300000"/>
    <n v="2.2999999999999998"/>
    <n v="10100000"/>
    <n v="10.1"/>
    <n v="-30.3"/>
    <x v="0"/>
    <s v="No Prior-Year Comparison"/>
  </r>
  <r>
    <x v="1"/>
    <x v="3"/>
    <x v="3"/>
    <n v="3300000"/>
    <n v="3.3"/>
    <n v="13400000"/>
    <n v="13.4"/>
    <n v="43.48"/>
    <x v="0"/>
    <s v="No Prior-Year Comparison"/>
  </r>
  <r>
    <x v="1"/>
    <x v="0"/>
    <x v="4"/>
    <n v="3900000"/>
    <n v="3.9"/>
    <n v="17300000"/>
    <n v="17.3"/>
    <n v="18.18"/>
    <x v="1"/>
    <s v="Strong Decline"/>
  </r>
  <r>
    <x v="1"/>
    <x v="1"/>
    <x v="5"/>
    <n v="2000000"/>
    <n v="2"/>
    <n v="19300000"/>
    <n v="19.3"/>
    <n v="-48.72"/>
    <x v="2"/>
    <s v="Strong Decline"/>
  </r>
  <r>
    <x v="2"/>
    <x v="2"/>
    <x v="6"/>
    <n v="2400000"/>
    <n v="2.4"/>
    <n v="21700000"/>
    <n v="21.7"/>
    <n v="20"/>
    <x v="3"/>
    <s v="Moderate Growth"/>
  </r>
  <r>
    <x v="2"/>
    <x v="3"/>
    <x v="7"/>
    <n v="3300000"/>
    <n v="3.3"/>
    <n v="25000000"/>
    <n v="25"/>
    <n v="37.5"/>
    <x v="4"/>
    <s v="Flat"/>
  </r>
  <r>
    <x v="2"/>
    <x v="0"/>
    <x v="8"/>
    <n v="7100000"/>
    <n v="7.1"/>
    <n v="32100000"/>
    <n v="32.1"/>
    <n v="115.15"/>
    <x v="5"/>
    <s v="Strong Growth"/>
  </r>
  <r>
    <x v="2"/>
    <x v="1"/>
    <x v="9"/>
    <n v="6300000"/>
    <n v="6.3"/>
    <n v="38400000"/>
    <n v="38.4"/>
    <n v="-11.27"/>
    <x v="6"/>
    <s v="Strong Growth"/>
  </r>
  <r>
    <x v="3"/>
    <x v="2"/>
    <x v="10"/>
    <n v="3300000"/>
    <n v="3.3"/>
    <n v="41700000"/>
    <n v="41.7"/>
    <n v="-47.62"/>
    <x v="7"/>
    <s v="Strong Growth"/>
  </r>
  <r>
    <x v="3"/>
    <x v="3"/>
    <x v="11"/>
    <n v="4900000"/>
    <n v="4.9000000000000004"/>
    <n v="46600000"/>
    <n v="46.6"/>
    <n v="48.48"/>
    <x v="8"/>
    <s v="Strong Growth"/>
  </r>
  <r>
    <x v="3"/>
    <x v="0"/>
    <x v="12"/>
    <n v="8200000"/>
    <n v="8.1999999999999993"/>
    <n v="54800000"/>
    <n v="54.8"/>
    <n v="67.349999999999994"/>
    <x v="9"/>
    <s v="Strong Growth"/>
  </r>
  <r>
    <x v="3"/>
    <x v="1"/>
    <x v="13"/>
    <n v="4500000"/>
    <n v="4.5"/>
    <n v="59300000"/>
    <n v="59.3"/>
    <n v="-45.12"/>
    <x v="10"/>
    <s v="Strong Decline"/>
  </r>
  <r>
    <x v="4"/>
    <x v="2"/>
    <x v="14"/>
    <n v="2400000"/>
    <n v="2.4"/>
    <n v="61700000"/>
    <n v="61.7"/>
    <n v="-46.67"/>
    <x v="11"/>
    <s v="Strong Decline"/>
  </r>
  <r>
    <x v="4"/>
    <x v="3"/>
    <x v="15"/>
    <n v="3800000"/>
    <n v="3.8"/>
    <n v="65500000"/>
    <n v="65.5"/>
    <n v="58.33"/>
    <x v="12"/>
    <s v="Strong Decline"/>
  </r>
  <r>
    <x v="4"/>
    <x v="0"/>
    <x v="16"/>
    <n v="9500000"/>
    <n v="9.5"/>
    <n v="75000000"/>
    <n v="75"/>
    <n v="150"/>
    <x v="13"/>
    <s v="Strong Growth"/>
  </r>
  <r>
    <x v="4"/>
    <x v="1"/>
    <x v="17"/>
    <n v="2800000"/>
    <n v="2.8"/>
    <n v="77800000"/>
    <n v="77.8"/>
    <n v="-70.53"/>
    <x v="14"/>
    <s v="Strong Decline"/>
  </r>
  <r>
    <x v="5"/>
    <x v="2"/>
    <x v="18"/>
    <n v="2500000"/>
    <n v="2.5"/>
    <n v="80300000"/>
    <n v="80.3"/>
    <n v="-10.71"/>
    <x v="15"/>
    <s v="Moderate Growth"/>
  </r>
  <r>
    <x v="5"/>
    <x v="3"/>
    <x v="19"/>
    <n v="4000000"/>
    <n v="4"/>
    <n v="84300000"/>
    <n v="84.3"/>
    <n v="60"/>
    <x v="16"/>
    <s v="Moderate Growth"/>
  </r>
  <r>
    <x v="5"/>
    <x v="0"/>
    <x v="20"/>
    <n v="7900000"/>
    <n v="7.9"/>
    <n v="92200000"/>
    <n v="92.2"/>
    <n v="97.5"/>
    <x v="17"/>
    <s v="Strong Decline"/>
  </r>
  <r>
    <x v="5"/>
    <x v="1"/>
    <x v="21"/>
    <n v="1500000"/>
    <n v="1.5"/>
    <n v="93700000"/>
    <n v="93.7"/>
    <n v="-81.010000000000005"/>
    <x v="18"/>
    <s v="Strong Decline"/>
  </r>
  <r>
    <x v="6"/>
    <x v="2"/>
    <x v="22"/>
    <n v="1600000"/>
    <n v="1.6"/>
    <n v="95300000"/>
    <n v="95.3"/>
    <n v="6.67"/>
    <x v="19"/>
    <s v="Strong Dec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DB64B-D687-4217-9515-1249430FC847}" name="PivotTable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S2:AT26" firstHeaderRow="1" firstDataRow="1" firstDataCol="1"/>
  <pivotFields count="10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multipleItemSelectionAllowed="1" showAll="0">
      <items count="5">
        <item x="2"/>
        <item x="3"/>
        <item x="0"/>
        <item x="1"/>
        <item t="default"/>
      </items>
    </pivotField>
    <pivotField axis="axisRow" compact="0" numFmtId="14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1">
        <item x="18"/>
        <item x="2"/>
        <item x="14"/>
        <item x="19"/>
        <item x="10"/>
        <item x="11"/>
        <item x="12"/>
        <item x="17"/>
        <item x="1"/>
        <item x="4"/>
        <item x="15"/>
        <item x="3"/>
        <item x="16"/>
        <item x="9"/>
        <item x="13"/>
        <item x="7"/>
        <item x="8"/>
        <item x="5"/>
        <item x="6"/>
        <item x="0"/>
        <item t="default"/>
      </items>
    </pivotField>
    <pivotField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YoY Growth(%)" fld="8" baseField="0" baseItem="0"/>
  </dataFields>
  <formats count="1">
    <format dxfId="1">
      <pivotArea outline="0" fieldPosition="0">
        <references count="1">
          <reference field="2" count="0" selected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5436D-085E-49E9-BD93-EDBC982961E7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P5:AQ29" firstHeaderRow="1" firstDataRow="1" firstDataCol="1" rowPageCount="2" colPageCount="1"/>
  <pivotFields count="10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5">
        <item x="2"/>
        <item x="3"/>
        <item x="0"/>
        <item x="1"/>
        <item t="default"/>
      </items>
    </pivotField>
    <pivotField axis="axisRow" compact="0" numFmtId="14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2">
    <pageField fld="0" hier="-1"/>
    <pageField fld="1" hier="-1"/>
  </pageFields>
  <dataFields count="1">
    <dataField name="Sum of Quarterly Sales(M)" fld="4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BF779-DB35-47A1-B9B6-F2C4FE7F9508}" name="PivotTable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V4:AW12" firstHeaderRow="1" firstDataRow="1" firstDataCol="1" rowPageCount="1" colPageCount="1"/>
  <pivotFields count="10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5">
        <item x="2"/>
        <item x="3"/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Sum of Quarterly Sales(M)" fld="4" baseField="0" baseItem="0"/>
  </dataFields>
  <chartFormats count="1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C5562-9320-451E-902C-325697D47232}" name="PivotTable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28" firstHeaderRow="1" firstDataRow="1" firstDataCol="1"/>
  <pivotFields count="10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multipleItemSelectionAllowed="1" showAll="0">
      <items count="5">
        <item x="2"/>
        <item x="3"/>
        <item x="0"/>
        <item x="1"/>
        <item t="default"/>
      </items>
    </pivotField>
    <pivotField axis="axisRow" compact="0" numFmtId="14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1">
        <item x="18"/>
        <item x="2"/>
        <item x="14"/>
        <item x="19"/>
        <item x="10"/>
        <item x="11"/>
        <item x="12"/>
        <item x="17"/>
        <item x="1"/>
        <item x="4"/>
        <item x="15"/>
        <item x="3"/>
        <item x="16"/>
        <item x="9"/>
        <item x="13"/>
        <item x="7"/>
        <item x="8"/>
        <item x="5"/>
        <item x="6"/>
        <item x="0"/>
        <item t="default"/>
      </items>
    </pivotField>
    <pivotField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YoY Growth(%)" fld="8" baseField="0" baseItem="0"/>
  </dataFields>
  <formats count="1">
    <format dxfId="0">
      <pivotArea outline="0" fieldPosition="0">
        <references count="1">
          <reference field="2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D27B3-4120-4C7C-9858-DA686B87D14A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I3:J11" firstHeaderRow="1" firstDataRow="1" firstDataCol="1" rowPageCount="1" colPageCount="1"/>
  <pivotFields count="10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5">
        <item x="2"/>
        <item x="3"/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Sum of Quarterly Sales(M)" fld="4" baseField="0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7C653-FFE2-485D-9B95-8B2A8F447DD9}" name="PivotTable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4:B28" firstHeaderRow="1" firstDataRow="1" firstDataCol="1" rowPageCount="2" colPageCount="1"/>
  <pivotFields count="10">
    <pivotField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multipleItemSelectionAllowed="1" showAll="0">
      <items count="5">
        <item x="2"/>
        <item x="3"/>
        <item x="0"/>
        <item x="1"/>
        <item t="default"/>
      </items>
    </pivotField>
    <pivotField axis="axisRow" compact="0" numFmtId="14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2">
    <pageField fld="0" hier="-1"/>
    <pageField fld="1" hier="-1"/>
  </pageFields>
  <dataFields count="1">
    <dataField name="Sum of Quarterly Sales(M)" fld="4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87A1E-602B-4305-B189-9F19EB55A718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10" firstHeaderRow="1" firstDataRow="1" firstDataCol="1" rowPageCount="1" colPageCount="1"/>
  <pivotFields count="10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showAll="0">
      <items count="5">
        <item x="2"/>
        <item x="3"/>
        <item x="0"/>
        <item x="1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2" hier="-1"/>
  </pageFields>
  <dataFields count="1">
    <dataField name="Sum of Quarterly Sales(M)" fld="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scal_Year" xr10:uid="{B9150F8F-69CA-422A-AD15-69661123B0A0}" sourceName="Fiscal Year">
  <pivotTables>
    <pivotTable tabId="9" name="PivotTable4"/>
    <pivotTable tabId="9" name="PivotTable1"/>
    <pivotTable tabId="9" name="PivotTable8"/>
  </pivotTables>
  <data>
    <tabular pivotCacheId="1441379188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scal_Quarter" xr10:uid="{307F2497-4558-46E5-ACFF-988637B9A9FF}" sourceName="Fiscal Quarter">
  <pivotTables>
    <pivotTable tabId="9" name="PivotTable4"/>
    <pivotTable tabId="9" name="PivotTable1"/>
    <pivotTable tabId="9" name="PivotTable8"/>
  </pivotTables>
  <data>
    <tabular pivotCacheId="1441379188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scal_Year1" xr10:uid="{5CA440CB-4512-4F6A-8AC5-A2104FA90123}" sourceName="Fiscal Year">
  <pivotTables>
    <pivotTable tabId="5" name="PivotTable3"/>
    <pivotTable tabId="5" name="PivotTable5"/>
    <pivotTable tabId="5" name="PivotTable4"/>
  </pivotTables>
  <data>
    <tabular pivotCacheId="1441379188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scal_Quarter1" xr10:uid="{4521CCB6-3482-459D-8EE6-808767511D26}" sourceName="Fiscal Quarter">
  <pivotTables>
    <pivotTable tabId="5" name="PivotTable4"/>
    <pivotTable tabId="5" name="PivotTable3"/>
    <pivotTable tabId="5" name="PivotTable5"/>
  </pivotTables>
  <data>
    <tabular pivotCacheId="1441379188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scal Year 1" xr10:uid="{71EB5973-5770-4D55-9C0A-9A92E0C41B13}" cache="Slicer_Fiscal_Year1" caption="Fiscal Year" columnCount="7" rowHeight="276225"/>
  <slicer name="Fiscal Quarter 1" xr10:uid="{C568B6FF-C99F-4909-9375-BF9EBB00A5DC}" cache="Slicer_Fiscal_Quarter1" caption="Fiscal Quarter" columnCount="4" rowHeight="2762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scal Year" xr10:uid="{FF8E7210-D0F7-44A9-A768-0EAB6736192E}" cache="Slicer_Fiscal_Year" caption="Fiscal Year" columnCount="7" rowHeight="228600"/>
  <slicer name="Fiscal Quarter" xr10:uid="{3E7B7580-279C-422E-94C7-F3A855E6C731}" cache="Slicer_Fiscal_Quarter" caption="Fiscal Quarter" columnCount="4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onyinteractive.com/en/our-company/business-data-sales/" TargetMode="External"/><Relationship Id="rId2" Type="http://schemas.openxmlformats.org/officeDocument/2006/relationships/hyperlink" Target="https://www.sony.com/en/SonyInfo/IR/" TargetMode="External"/><Relationship Id="rId1" Type="http://schemas.openxmlformats.org/officeDocument/2006/relationships/hyperlink" Target="https://www.playstation.com/en-us/playstation-history/1994-ps-one/" TargetMode="External"/><Relationship Id="rId5" Type="http://schemas.openxmlformats.org/officeDocument/2006/relationships/hyperlink" Target="https://data.bls.gov/pdq/SurveyOutputServlet" TargetMode="External"/><Relationship Id="rId4" Type="http://schemas.openxmlformats.org/officeDocument/2006/relationships/hyperlink" Target="https://www.bls.gov/c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00F1-4E76-441E-8031-6C3A2450F7CA}">
  <dimension ref="B1:AW29"/>
  <sheetViews>
    <sheetView workbookViewId="0">
      <selection activeCell="AA47" sqref="AA47"/>
    </sheetView>
  </sheetViews>
  <sheetFormatPr defaultRowHeight="15"/>
  <cols>
    <col min="1" max="1" width="9.5703125" style="11" customWidth="1"/>
    <col min="2" max="12" width="9.140625" style="11"/>
    <col min="13" max="13" width="9.7109375" style="11" customWidth="1"/>
    <col min="14" max="15" width="9.140625" style="11"/>
    <col min="16" max="16" width="10" style="11" customWidth="1"/>
    <col min="17" max="26" width="9.140625" style="11"/>
    <col min="27" max="27" width="8.5703125" style="11" customWidth="1"/>
    <col min="28" max="28" width="9.85546875" style="11" bestFit="1" customWidth="1"/>
    <col min="29" max="41" width="9.140625" style="11"/>
    <col min="42" max="42" width="13.85546875" style="11" hidden="1" customWidth="1"/>
    <col min="43" max="43" width="25" style="11" hidden="1" customWidth="1"/>
    <col min="44" max="44" width="9.140625" style="11"/>
    <col min="45" max="45" width="13.85546875" style="11" hidden="1" customWidth="1"/>
    <col min="46" max="46" width="21.85546875" style="11" hidden="1" customWidth="1"/>
    <col min="47" max="47" width="9.140625" style="11"/>
    <col min="48" max="48" width="13.5703125" style="11" hidden="1" customWidth="1"/>
    <col min="49" max="49" width="25" style="11" hidden="1" customWidth="1"/>
    <col min="50" max="16384" width="9.140625" style="11"/>
  </cols>
  <sheetData>
    <row r="1" spans="2:49" ht="17.25" customHeight="1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2:49">
      <c r="AA2" s="22"/>
      <c r="AB2" s="22"/>
      <c r="AP2" s="24" t="s">
        <v>0</v>
      </c>
      <c r="AQ2" t="s">
        <v>1</v>
      </c>
      <c r="AS2" s="24" t="s">
        <v>2</v>
      </c>
      <c r="AT2" t="s">
        <v>3</v>
      </c>
      <c r="AV2" s="24" t="s">
        <v>4</v>
      </c>
      <c r="AW2" t="s">
        <v>1</v>
      </c>
    </row>
    <row r="3" spans="2:49">
      <c r="AP3" s="24" t="s">
        <v>4</v>
      </c>
      <c r="AQ3" t="s">
        <v>1</v>
      </c>
      <c r="AS3" s="1">
        <v>44196</v>
      </c>
      <c r="AT3" s="29">
        <v>0</v>
      </c>
      <c r="AV3"/>
      <c r="AW3"/>
    </row>
    <row r="4" spans="2:49">
      <c r="AP4"/>
      <c r="AQ4"/>
      <c r="AS4" s="1">
        <v>44286</v>
      </c>
      <c r="AT4" s="29">
        <v>0</v>
      </c>
      <c r="AV4" s="24" t="s">
        <v>0</v>
      </c>
      <c r="AW4" t="s">
        <v>5</v>
      </c>
    </row>
    <row r="5" spans="2:49">
      <c r="AP5" s="24" t="s">
        <v>2</v>
      </c>
      <c r="AQ5" t="s">
        <v>5</v>
      </c>
      <c r="AS5" s="1">
        <v>44377</v>
      </c>
      <c r="AT5" s="29">
        <v>0</v>
      </c>
      <c r="AV5">
        <v>2020</v>
      </c>
      <c r="AW5" s="25">
        <v>7.8</v>
      </c>
    </row>
    <row r="6" spans="2:49">
      <c r="AP6" s="1">
        <v>44196</v>
      </c>
      <c r="AQ6" s="25">
        <v>4.5</v>
      </c>
      <c r="AS6" s="1">
        <v>44469</v>
      </c>
      <c r="AT6" s="29">
        <v>0</v>
      </c>
      <c r="AV6">
        <v>2021</v>
      </c>
      <c r="AW6" s="25">
        <v>11.5</v>
      </c>
    </row>
    <row r="7" spans="2:49">
      <c r="AB7" s="21"/>
      <c r="AP7" s="1">
        <v>44286</v>
      </c>
      <c r="AQ7" s="25">
        <v>3.3</v>
      </c>
      <c r="AS7" s="1">
        <v>44561</v>
      </c>
      <c r="AT7" s="29">
        <v>-13.33</v>
      </c>
      <c r="AV7">
        <v>2022</v>
      </c>
      <c r="AW7" s="25">
        <v>19.099999999999998</v>
      </c>
    </row>
    <row r="8" spans="2:49">
      <c r="AB8" s="21"/>
      <c r="AP8" s="1">
        <v>44377</v>
      </c>
      <c r="AQ8" s="25">
        <v>2.2999999999999998</v>
      </c>
      <c r="AS8" s="1">
        <v>44651</v>
      </c>
      <c r="AT8" s="29">
        <v>-39.39</v>
      </c>
      <c r="AV8">
        <v>2023</v>
      </c>
      <c r="AW8" s="25">
        <v>20.9</v>
      </c>
    </row>
    <row r="9" spans="2:49">
      <c r="AP9" s="1">
        <v>44469</v>
      </c>
      <c r="AQ9" s="25">
        <v>3.3</v>
      </c>
      <c r="AS9" s="1">
        <v>44742</v>
      </c>
      <c r="AT9" s="29">
        <v>4.3499999999999996</v>
      </c>
      <c r="AV9">
        <v>2024</v>
      </c>
      <c r="AW9" s="25">
        <v>18.5</v>
      </c>
    </row>
    <row r="10" spans="2:49">
      <c r="AB10" s="6"/>
      <c r="AP10" s="1">
        <v>44561</v>
      </c>
      <c r="AQ10" s="25">
        <v>3.9</v>
      </c>
      <c r="AS10" s="1">
        <v>44834</v>
      </c>
      <c r="AT10" s="29">
        <v>0</v>
      </c>
      <c r="AV10">
        <v>2025</v>
      </c>
      <c r="AW10" s="25">
        <v>15.9</v>
      </c>
    </row>
    <row r="11" spans="2:49">
      <c r="AP11" s="1">
        <v>44651</v>
      </c>
      <c r="AQ11" s="25">
        <v>2</v>
      </c>
      <c r="AS11" s="1">
        <v>44926</v>
      </c>
      <c r="AT11" s="29">
        <v>82.05</v>
      </c>
      <c r="AV11">
        <v>2026</v>
      </c>
      <c r="AW11" s="25">
        <v>1.6</v>
      </c>
    </row>
    <row r="12" spans="2:49">
      <c r="AP12" s="1">
        <v>44742</v>
      </c>
      <c r="AQ12" s="25">
        <v>2.4</v>
      </c>
      <c r="AS12" s="1">
        <v>45016</v>
      </c>
      <c r="AT12" s="29">
        <v>215</v>
      </c>
      <c r="AV12" t="s">
        <v>6</v>
      </c>
      <c r="AW12" s="25">
        <v>95.3</v>
      </c>
    </row>
    <row r="13" spans="2:49">
      <c r="AP13" s="1">
        <v>44834</v>
      </c>
      <c r="AQ13" s="25">
        <v>3.3</v>
      </c>
      <c r="AS13" s="1">
        <v>45107</v>
      </c>
      <c r="AT13" s="29">
        <v>37.5</v>
      </c>
    </row>
    <row r="14" spans="2:49">
      <c r="AP14" s="1">
        <v>44926</v>
      </c>
      <c r="AQ14" s="25">
        <v>7.1</v>
      </c>
      <c r="AS14" s="1">
        <v>45199</v>
      </c>
      <c r="AT14" s="29">
        <v>48.48</v>
      </c>
    </row>
    <row r="15" spans="2:49">
      <c r="AP15" s="1">
        <v>45016</v>
      </c>
      <c r="AQ15" s="25">
        <v>6.3</v>
      </c>
      <c r="AS15" s="1">
        <v>45291</v>
      </c>
      <c r="AT15" s="29">
        <v>15.49</v>
      </c>
    </row>
    <row r="16" spans="2:49">
      <c r="AP16" s="1">
        <v>45107</v>
      </c>
      <c r="AQ16" s="25">
        <v>3.3</v>
      </c>
      <c r="AS16" s="1">
        <v>45382</v>
      </c>
      <c r="AT16" s="29">
        <v>-28.57</v>
      </c>
    </row>
    <row r="17" spans="42:46">
      <c r="AP17" s="1">
        <v>45199</v>
      </c>
      <c r="AQ17" s="25">
        <v>4.9000000000000004</v>
      </c>
      <c r="AS17" s="1">
        <v>45473</v>
      </c>
      <c r="AT17" s="29">
        <v>-27.27</v>
      </c>
    </row>
    <row r="18" spans="42:46">
      <c r="AP18" s="1">
        <v>45291</v>
      </c>
      <c r="AQ18" s="25">
        <v>8.1999999999999993</v>
      </c>
      <c r="AS18" s="1">
        <v>45565</v>
      </c>
      <c r="AT18" s="29">
        <v>-22.45</v>
      </c>
    </row>
    <row r="19" spans="42:46">
      <c r="AP19" s="1">
        <v>45382</v>
      </c>
      <c r="AQ19" s="25">
        <v>4.5</v>
      </c>
      <c r="AS19" s="1">
        <v>45657</v>
      </c>
      <c r="AT19" s="29">
        <v>15.85</v>
      </c>
    </row>
    <row r="20" spans="42:46">
      <c r="AP20" s="1">
        <v>45473</v>
      </c>
      <c r="AQ20" s="25">
        <v>2.4</v>
      </c>
      <c r="AS20" s="1">
        <v>45747</v>
      </c>
      <c r="AT20" s="29">
        <v>-37.78</v>
      </c>
    </row>
    <row r="21" spans="42:46">
      <c r="AP21" s="1">
        <v>45565</v>
      </c>
      <c r="AQ21" s="25">
        <v>3.8</v>
      </c>
      <c r="AS21" s="1">
        <v>45838</v>
      </c>
      <c r="AT21" s="29">
        <v>4.17</v>
      </c>
    </row>
    <row r="22" spans="42:46">
      <c r="AP22" s="1">
        <v>45657</v>
      </c>
      <c r="AQ22" s="25">
        <v>9.5</v>
      </c>
      <c r="AS22" s="1">
        <v>45930</v>
      </c>
      <c r="AT22" s="29">
        <v>5.26</v>
      </c>
    </row>
    <row r="23" spans="42:46">
      <c r="AP23" s="1">
        <v>45747</v>
      </c>
      <c r="AQ23" s="25">
        <v>2.8</v>
      </c>
      <c r="AS23" s="1">
        <v>46022</v>
      </c>
      <c r="AT23" s="29">
        <v>-16.84</v>
      </c>
    </row>
    <row r="24" spans="42:46">
      <c r="AP24" s="1">
        <v>45838</v>
      </c>
      <c r="AQ24" s="25">
        <v>2.5</v>
      </c>
      <c r="AS24" s="1">
        <v>46112</v>
      </c>
      <c r="AT24" s="29">
        <v>-46.43</v>
      </c>
    </row>
    <row r="25" spans="42:46">
      <c r="AP25" s="1">
        <v>45930</v>
      </c>
      <c r="AQ25" s="25">
        <v>4</v>
      </c>
      <c r="AS25" s="1">
        <v>46203</v>
      </c>
      <c r="AT25" s="29">
        <v>-36</v>
      </c>
    </row>
    <row r="26" spans="42:46">
      <c r="AP26" s="1">
        <v>46022</v>
      </c>
      <c r="AQ26" s="25">
        <v>7.9</v>
      </c>
      <c r="AS26" s="1" t="s">
        <v>6</v>
      </c>
      <c r="AT26" s="25">
        <v>160.09000000000006</v>
      </c>
    </row>
    <row r="27" spans="42:46">
      <c r="AP27" s="1">
        <v>46112</v>
      </c>
      <c r="AQ27" s="25">
        <v>1.5</v>
      </c>
    </row>
    <row r="28" spans="42:46">
      <c r="AP28" s="1">
        <v>46203</v>
      </c>
      <c r="AQ28" s="25">
        <v>1.6</v>
      </c>
    </row>
    <row r="29" spans="42:46">
      <c r="AP29" s="1" t="s">
        <v>6</v>
      </c>
      <c r="AQ29" s="25">
        <v>95.299999999999983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610F-2748-4AAC-A6AB-9128FC81F501}">
  <dimension ref="A1:J28"/>
  <sheetViews>
    <sheetView workbookViewId="0">
      <selection activeCell="I1" sqref="I1"/>
    </sheetView>
  </sheetViews>
  <sheetFormatPr defaultRowHeight="15"/>
  <cols>
    <col min="1" max="1" width="13.85546875" bestFit="1" customWidth="1"/>
    <col min="2" max="2" width="25" bestFit="1" customWidth="1"/>
    <col min="5" max="5" width="13.85546875" bestFit="1" customWidth="1"/>
    <col min="6" max="6" width="21.85546875" bestFit="1" customWidth="1"/>
    <col min="7" max="8" width="6.85546875" bestFit="1" customWidth="1"/>
    <col min="9" max="9" width="13.5703125" bestFit="1" customWidth="1"/>
    <col min="10" max="10" width="25" bestFit="1" customWidth="1"/>
    <col min="11" max="13" width="5.140625" bestFit="1" customWidth="1"/>
    <col min="14" max="14" width="11.7109375" bestFit="1" customWidth="1"/>
    <col min="15" max="15" width="2.28515625" bestFit="1" customWidth="1"/>
    <col min="16" max="18" width="5.140625" bestFit="1" customWidth="1"/>
    <col min="19" max="20" width="6.140625" bestFit="1" customWidth="1"/>
    <col min="21" max="21" width="5.140625" bestFit="1" customWidth="1"/>
    <col min="22" max="23" width="6.140625" bestFit="1" customWidth="1"/>
    <col min="24" max="24" width="4.42578125" bestFit="1" customWidth="1"/>
    <col min="25" max="25" width="5.7109375" bestFit="1" customWidth="1"/>
    <col min="26" max="26" width="11.7109375" bestFit="1" customWidth="1"/>
  </cols>
  <sheetData>
    <row r="1" spans="1:10">
      <c r="A1" s="24" t="s">
        <v>0</v>
      </c>
      <c r="B1" t="s">
        <v>1</v>
      </c>
      <c r="I1" s="24" t="s">
        <v>4</v>
      </c>
      <c r="J1" t="s">
        <v>1</v>
      </c>
    </row>
    <row r="2" spans="1:10">
      <c r="A2" s="24" t="s">
        <v>4</v>
      </c>
      <c r="B2" t="s">
        <v>1</v>
      </c>
    </row>
    <row r="3" spans="1:10">
      <c r="I3" s="24" t="s">
        <v>0</v>
      </c>
      <c r="J3" t="s">
        <v>5</v>
      </c>
    </row>
    <row r="4" spans="1:10">
      <c r="A4" s="24" t="s">
        <v>2</v>
      </c>
      <c r="B4" t="s">
        <v>5</v>
      </c>
      <c r="E4" s="24" t="s">
        <v>2</v>
      </c>
      <c r="F4" t="s">
        <v>3</v>
      </c>
      <c r="I4">
        <v>2020</v>
      </c>
      <c r="J4" s="25">
        <v>7.8</v>
      </c>
    </row>
    <row r="5" spans="1:10">
      <c r="A5" s="1">
        <v>44196</v>
      </c>
      <c r="B5" s="25">
        <v>4.5</v>
      </c>
      <c r="E5" s="1">
        <v>44196</v>
      </c>
      <c r="F5" s="29">
        <v>0</v>
      </c>
      <c r="I5">
        <v>2021</v>
      </c>
      <c r="J5" s="25">
        <v>11.5</v>
      </c>
    </row>
    <row r="6" spans="1:10">
      <c r="A6" s="1">
        <v>44286</v>
      </c>
      <c r="B6" s="25">
        <v>3.3</v>
      </c>
      <c r="E6" s="1">
        <v>44286</v>
      </c>
      <c r="F6" s="29">
        <v>0</v>
      </c>
      <c r="I6">
        <v>2022</v>
      </c>
      <c r="J6" s="25">
        <v>19.099999999999998</v>
      </c>
    </row>
    <row r="7" spans="1:10">
      <c r="A7" s="1">
        <v>44377</v>
      </c>
      <c r="B7" s="25">
        <v>2.2999999999999998</v>
      </c>
      <c r="E7" s="1">
        <v>44377</v>
      </c>
      <c r="F7" s="29">
        <v>0</v>
      </c>
      <c r="I7">
        <v>2023</v>
      </c>
      <c r="J7" s="25">
        <v>20.9</v>
      </c>
    </row>
    <row r="8" spans="1:10">
      <c r="A8" s="1">
        <v>44469</v>
      </c>
      <c r="B8" s="25">
        <v>3.3</v>
      </c>
      <c r="E8" s="1">
        <v>44469</v>
      </c>
      <c r="F8" s="29">
        <v>0</v>
      </c>
      <c r="I8">
        <v>2024</v>
      </c>
      <c r="J8" s="25">
        <v>18.5</v>
      </c>
    </row>
    <row r="9" spans="1:10">
      <c r="A9" s="1">
        <v>44561</v>
      </c>
      <c r="B9" s="25">
        <v>3.9</v>
      </c>
      <c r="E9" s="1">
        <v>44561</v>
      </c>
      <c r="F9" s="29">
        <v>-13.33</v>
      </c>
      <c r="I9">
        <v>2025</v>
      </c>
      <c r="J9" s="25">
        <v>15.9</v>
      </c>
    </row>
    <row r="10" spans="1:10">
      <c r="A10" s="1">
        <v>44651</v>
      </c>
      <c r="B10" s="25">
        <v>2</v>
      </c>
      <c r="E10" s="1">
        <v>44651</v>
      </c>
      <c r="F10" s="29">
        <v>-39.39</v>
      </c>
      <c r="I10">
        <v>2026</v>
      </c>
      <c r="J10" s="25">
        <v>1.6</v>
      </c>
    </row>
    <row r="11" spans="1:10">
      <c r="A11" s="1">
        <v>44742</v>
      </c>
      <c r="B11" s="25">
        <v>2.4</v>
      </c>
      <c r="E11" s="1">
        <v>44742</v>
      </c>
      <c r="F11" s="29">
        <v>4.3499999999999996</v>
      </c>
      <c r="I11" t="s">
        <v>6</v>
      </c>
      <c r="J11" s="25">
        <v>95.3</v>
      </c>
    </row>
    <row r="12" spans="1:10">
      <c r="A12" s="1">
        <v>44834</v>
      </c>
      <c r="B12" s="25">
        <v>3.3</v>
      </c>
      <c r="E12" s="1">
        <v>44834</v>
      </c>
      <c r="F12" s="29">
        <v>0</v>
      </c>
    </row>
    <row r="13" spans="1:10">
      <c r="A13" s="1">
        <v>44926</v>
      </c>
      <c r="B13" s="25">
        <v>7.1</v>
      </c>
      <c r="E13" s="1">
        <v>44926</v>
      </c>
      <c r="F13" s="29">
        <v>82.05</v>
      </c>
    </row>
    <row r="14" spans="1:10">
      <c r="A14" s="1">
        <v>45016</v>
      </c>
      <c r="B14" s="25">
        <v>6.3</v>
      </c>
      <c r="E14" s="1">
        <v>45016</v>
      </c>
      <c r="F14" s="29">
        <v>215</v>
      </c>
    </row>
    <row r="15" spans="1:10">
      <c r="A15" s="1">
        <v>45107</v>
      </c>
      <c r="B15" s="25">
        <v>3.3</v>
      </c>
      <c r="E15" s="1">
        <v>45107</v>
      </c>
      <c r="F15" s="29">
        <v>37.5</v>
      </c>
    </row>
    <row r="16" spans="1:10">
      <c r="A16" s="1">
        <v>45199</v>
      </c>
      <c r="B16" s="25">
        <v>4.9000000000000004</v>
      </c>
      <c r="E16" s="1">
        <v>45199</v>
      </c>
      <c r="F16" s="29">
        <v>48.48</v>
      </c>
    </row>
    <row r="17" spans="1:6">
      <c r="A17" s="1">
        <v>45291</v>
      </c>
      <c r="B17" s="25">
        <v>8.1999999999999993</v>
      </c>
      <c r="E17" s="1">
        <v>45291</v>
      </c>
      <c r="F17" s="29">
        <v>15.49</v>
      </c>
    </row>
    <row r="18" spans="1:6">
      <c r="A18" s="1">
        <v>45382</v>
      </c>
      <c r="B18" s="25">
        <v>4.5</v>
      </c>
      <c r="E18" s="1">
        <v>45382</v>
      </c>
      <c r="F18" s="29">
        <v>-28.57</v>
      </c>
    </row>
    <row r="19" spans="1:6">
      <c r="A19" s="1">
        <v>45473</v>
      </c>
      <c r="B19" s="25">
        <v>2.4</v>
      </c>
      <c r="E19" s="1">
        <v>45473</v>
      </c>
      <c r="F19" s="29">
        <v>-27.27</v>
      </c>
    </row>
    <row r="20" spans="1:6">
      <c r="A20" s="1">
        <v>45565</v>
      </c>
      <c r="B20" s="25">
        <v>3.8</v>
      </c>
      <c r="E20" s="1">
        <v>45565</v>
      </c>
      <c r="F20" s="29">
        <v>-22.45</v>
      </c>
    </row>
    <row r="21" spans="1:6">
      <c r="A21" s="1">
        <v>45657</v>
      </c>
      <c r="B21" s="25">
        <v>9.5</v>
      </c>
      <c r="E21" s="1">
        <v>45657</v>
      </c>
      <c r="F21" s="29">
        <v>15.85</v>
      </c>
    </row>
    <row r="22" spans="1:6">
      <c r="A22" s="1">
        <v>45747</v>
      </c>
      <c r="B22" s="25">
        <v>2.8</v>
      </c>
      <c r="E22" s="1">
        <v>45747</v>
      </c>
      <c r="F22" s="29">
        <v>-37.78</v>
      </c>
    </row>
    <row r="23" spans="1:6">
      <c r="A23" s="1">
        <v>45838</v>
      </c>
      <c r="B23" s="25">
        <v>2.5</v>
      </c>
      <c r="E23" s="1">
        <v>45838</v>
      </c>
      <c r="F23" s="29">
        <v>4.17</v>
      </c>
    </row>
    <row r="24" spans="1:6">
      <c r="A24" s="1">
        <v>45930</v>
      </c>
      <c r="B24" s="25">
        <v>4</v>
      </c>
      <c r="E24" s="1">
        <v>45930</v>
      </c>
      <c r="F24" s="29">
        <v>5.26</v>
      </c>
    </row>
    <row r="25" spans="1:6">
      <c r="A25" s="1">
        <v>46022</v>
      </c>
      <c r="B25" s="25">
        <v>7.9</v>
      </c>
      <c r="E25" s="1">
        <v>46022</v>
      </c>
      <c r="F25" s="29">
        <v>-16.84</v>
      </c>
    </row>
    <row r="26" spans="1:6">
      <c r="A26" s="1">
        <v>46112</v>
      </c>
      <c r="B26" s="25">
        <v>1.5</v>
      </c>
      <c r="E26" s="1">
        <v>46112</v>
      </c>
      <c r="F26" s="29">
        <v>-46.43</v>
      </c>
    </row>
    <row r="27" spans="1:6">
      <c r="A27" s="1">
        <v>46203</v>
      </c>
      <c r="B27" s="25">
        <v>1.6</v>
      </c>
      <c r="E27" s="1">
        <v>46203</v>
      </c>
      <c r="F27" s="29">
        <v>-36</v>
      </c>
    </row>
    <row r="28" spans="1:6">
      <c r="A28" s="1" t="s">
        <v>6</v>
      </c>
      <c r="B28" s="25">
        <v>95.299999999999983</v>
      </c>
      <c r="E28" s="1" t="s">
        <v>6</v>
      </c>
      <c r="F28" s="25">
        <v>160.09000000000006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EA66-5ED8-4EBA-8991-EC7EAEC5E249}">
  <dimension ref="A1:I6"/>
  <sheetViews>
    <sheetView workbookViewId="0">
      <selection activeCell="H2" sqref="H2:H5"/>
    </sheetView>
  </sheetViews>
  <sheetFormatPr defaultRowHeight="15"/>
  <cols>
    <col min="2" max="2" width="12.7109375" bestFit="1" customWidth="1"/>
    <col min="3" max="3" width="18.140625" bestFit="1" customWidth="1"/>
    <col min="4" max="4" width="16.85546875" bestFit="1" customWidth="1"/>
    <col min="5" max="5" width="12.85546875" bestFit="1" customWidth="1"/>
    <col min="6" max="6" width="20.42578125" bestFit="1" customWidth="1"/>
    <col min="7" max="7" width="20.42578125" customWidth="1"/>
    <col min="8" max="8" width="14.28515625" bestFit="1" customWidth="1"/>
    <col min="9" max="9" width="22.28515625" bestFit="1" customWidth="1"/>
  </cols>
  <sheetData>
    <row r="1" spans="1:9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15" t="s">
        <v>15</v>
      </c>
    </row>
    <row r="2" spans="1:9">
      <c r="A2" s="6" t="s">
        <v>16</v>
      </c>
      <c r="B2" s="7">
        <v>34951</v>
      </c>
      <c r="C2" s="8">
        <v>299</v>
      </c>
      <c r="D2" s="18">
        <v>102</v>
      </c>
      <c r="E2" s="9" t="s">
        <v>17</v>
      </c>
      <c r="F2" s="7">
        <v>36825</v>
      </c>
      <c r="G2" s="9" t="s">
        <v>18</v>
      </c>
      <c r="H2" s="12">
        <f>YEARFRAC(B2,F2)</f>
        <v>5.1305555555555555</v>
      </c>
      <c r="I2" s="23">
        <f>AVERAGE(H2:H6)</f>
        <v>6.2937500000000002</v>
      </c>
    </row>
    <row r="3" spans="1:9">
      <c r="A3" s="20" t="s">
        <v>17</v>
      </c>
      <c r="B3" s="1">
        <v>36825</v>
      </c>
      <c r="C3" s="2">
        <v>299.99</v>
      </c>
      <c r="D3" s="19">
        <v>160</v>
      </c>
      <c r="E3" s="4" t="s">
        <v>19</v>
      </c>
      <c r="F3" s="1">
        <v>39038</v>
      </c>
      <c r="G3" s="4" t="s">
        <v>20</v>
      </c>
      <c r="H3" s="13">
        <f t="shared" ref="H3:H6" si="0">YEARFRAC(B3,F3)</f>
        <v>6.0583333333333336</v>
      </c>
      <c r="I3" s="17">
        <f>I2</f>
        <v>6.2937500000000002</v>
      </c>
    </row>
    <row r="4" spans="1:9">
      <c r="A4" s="6" t="s">
        <v>19</v>
      </c>
      <c r="B4" s="7">
        <v>39038</v>
      </c>
      <c r="C4" s="8">
        <v>499.99</v>
      </c>
      <c r="D4" s="18">
        <v>87</v>
      </c>
      <c r="E4" s="9" t="s">
        <v>21</v>
      </c>
      <c r="F4" s="7">
        <v>41593</v>
      </c>
      <c r="G4" s="9" t="s">
        <v>22</v>
      </c>
      <c r="H4" s="12">
        <f t="shared" si="0"/>
        <v>6.9944444444444445</v>
      </c>
      <c r="I4" s="23">
        <f>I3</f>
        <v>6.2937500000000002</v>
      </c>
    </row>
    <row r="5" spans="1:9">
      <c r="A5" s="20" t="s">
        <v>21</v>
      </c>
      <c r="B5" s="1">
        <v>41593</v>
      </c>
      <c r="C5" s="2">
        <v>399.99</v>
      </c>
      <c r="D5" s="19">
        <v>117</v>
      </c>
      <c r="E5" s="4" t="s">
        <v>23</v>
      </c>
      <c r="F5" s="1">
        <v>44147</v>
      </c>
      <c r="G5" s="4" t="s">
        <v>24</v>
      </c>
      <c r="H5" s="13">
        <f t="shared" si="0"/>
        <v>6.9916666666666663</v>
      </c>
      <c r="I5" s="17">
        <f>I4</f>
        <v>6.2937500000000002</v>
      </c>
    </row>
    <row r="6" spans="1:9">
      <c r="A6" s="6" t="s">
        <v>23</v>
      </c>
      <c r="B6" s="7">
        <v>44147</v>
      </c>
      <c r="C6" s="8">
        <v>499.99</v>
      </c>
      <c r="D6" s="18" t="s">
        <v>25</v>
      </c>
      <c r="E6" s="6" t="s">
        <v>25</v>
      </c>
      <c r="F6" s="10" t="s">
        <v>25</v>
      </c>
      <c r="G6" s="6" t="s">
        <v>25</v>
      </c>
      <c r="H6" s="6" t="s">
        <v>25</v>
      </c>
      <c r="I6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FBC2-3D4B-448A-9FC7-EC740089B7EB}">
  <dimension ref="A1:AB8"/>
  <sheetViews>
    <sheetView workbookViewId="0">
      <selection activeCell="E1" sqref="E1:E6"/>
    </sheetView>
  </sheetViews>
  <sheetFormatPr defaultRowHeight="15"/>
  <cols>
    <col min="2" max="2" width="11.7109375" bestFit="1" customWidth="1"/>
    <col min="3" max="3" width="12.140625" bestFit="1" customWidth="1"/>
    <col min="4" max="4" width="10.5703125" bestFit="1" customWidth="1"/>
    <col min="5" max="5" width="15.42578125" bestFit="1" customWidth="1"/>
    <col min="6" max="6" width="19.85546875" bestFit="1" customWidth="1"/>
  </cols>
  <sheetData>
    <row r="1" spans="1:28">
      <c r="A1" s="5" t="s">
        <v>7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</row>
    <row r="2" spans="1:28">
      <c r="A2" s="6" t="s">
        <v>16</v>
      </c>
      <c r="B2" s="6">
        <v>1995</v>
      </c>
      <c r="C2" s="16">
        <v>299</v>
      </c>
      <c r="D2" s="16">
        <v>152.38333299999999</v>
      </c>
      <c r="E2" s="16">
        <v>631.70000000000005</v>
      </c>
      <c r="F2" s="10" t="s">
        <v>25</v>
      </c>
    </row>
    <row r="3" spans="1:28">
      <c r="A3" s="20" t="s">
        <v>17</v>
      </c>
      <c r="B3" s="20">
        <v>2000</v>
      </c>
      <c r="C3" s="14">
        <v>299.99</v>
      </c>
      <c r="D3" s="14">
        <v>172.2</v>
      </c>
      <c r="E3" s="14">
        <v>560.86</v>
      </c>
      <c r="F3" s="3">
        <v>-11.21</v>
      </c>
    </row>
    <row r="4" spans="1:28">
      <c r="A4" s="6" t="s">
        <v>19</v>
      </c>
      <c r="B4" s="6">
        <v>2006</v>
      </c>
      <c r="C4" s="16">
        <v>499.99</v>
      </c>
      <c r="D4" s="16">
        <v>201.591667</v>
      </c>
      <c r="E4" s="16">
        <v>798.49</v>
      </c>
      <c r="F4" s="10">
        <v>42.37</v>
      </c>
    </row>
    <row r="5" spans="1:28">
      <c r="A5" s="20" t="s">
        <v>21</v>
      </c>
      <c r="B5" s="20">
        <v>2013</v>
      </c>
      <c r="C5" s="14">
        <v>399.99</v>
      </c>
      <c r="D5" s="14">
        <v>232.95708300000001</v>
      </c>
      <c r="E5" s="14">
        <v>552.78</v>
      </c>
      <c r="F5" s="3">
        <v>-30.77</v>
      </c>
    </row>
    <row r="6" spans="1:28">
      <c r="A6" s="6" t="s">
        <v>23</v>
      </c>
      <c r="B6" s="6">
        <v>2020</v>
      </c>
      <c r="C6" s="16">
        <v>499.99</v>
      </c>
      <c r="D6" s="16">
        <v>258.81116700000001</v>
      </c>
      <c r="E6" s="16">
        <v>621.95000000000005</v>
      </c>
      <c r="F6" s="10">
        <v>12.51</v>
      </c>
    </row>
    <row r="8" spans="1:28">
      <c r="AB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95B2-DCD1-4467-8BAD-BFB84381AA10}">
  <dimension ref="A1:J24"/>
  <sheetViews>
    <sheetView workbookViewId="0">
      <selection activeCell="A8" sqref="A8"/>
    </sheetView>
  </sheetViews>
  <sheetFormatPr defaultRowHeight="15"/>
  <cols>
    <col min="1" max="1" width="10.42578125" bestFit="1" customWidth="1"/>
    <col min="2" max="2" width="13.5703125" bestFit="1" customWidth="1"/>
    <col min="3" max="3" width="11.42578125" bestFit="1" customWidth="1"/>
    <col min="4" max="4" width="10.140625" bestFit="1" customWidth="1"/>
    <col min="5" max="5" width="19.28515625" bestFit="1" customWidth="1"/>
    <col min="6" max="6" width="21" bestFit="1" customWidth="1"/>
    <col min="7" max="7" width="20.85546875" bestFit="1" customWidth="1"/>
    <col min="8" max="8" width="15.5703125" bestFit="1" customWidth="1"/>
    <col min="9" max="9" width="14.85546875" bestFit="1" customWidth="1"/>
    <col min="10" max="10" width="24.28515625" bestFit="1" customWidth="1"/>
  </cols>
  <sheetData>
    <row r="1" spans="1:10">
      <c r="A1" s="15" t="s">
        <v>0</v>
      </c>
      <c r="B1" s="15" t="s">
        <v>4</v>
      </c>
      <c r="C1" s="15" t="s">
        <v>2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38</v>
      </c>
    </row>
    <row r="2" spans="1:10">
      <c r="A2" s="11">
        <v>2020</v>
      </c>
      <c r="B2" s="11">
        <v>3</v>
      </c>
      <c r="C2" s="7">
        <v>44196</v>
      </c>
      <c r="D2" s="11">
        <v>4500000</v>
      </c>
      <c r="E2" s="11">
        <v>4.5</v>
      </c>
      <c r="F2" s="11">
        <v>4500000</v>
      </c>
      <c r="G2" s="11">
        <v>4.5</v>
      </c>
      <c r="H2" s="27" t="s">
        <v>39</v>
      </c>
      <c r="I2" s="27" t="s">
        <v>39</v>
      </c>
      <c r="J2" s="6" t="s">
        <v>40</v>
      </c>
    </row>
    <row r="3" spans="1:10">
      <c r="A3">
        <v>2020</v>
      </c>
      <c r="B3">
        <v>4</v>
      </c>
      <c r="C3" s="1">
        <v>44286</v>
      </c>
      <c r="D3">
        <v>3300000</v>
      </c>
      <c r="E3">
        <v>3.3</v>
      </c>
      <c r="F3">
        <v>7800000</v>
      </c>
      <c r="G3">
        <v>7.8</v>
      </c>
      <c r="H3" s="28">
        <v>-26.67</v>
      </c>
      <c r="I3" s="28" t="s">
        <v>39</v>
      </c>
      <c r="J3" s="20" t="s">
        <v>40</v>
      </c>
    </row>
    <row r="4" spans="1:10">
      <c r="A4" s="11">
        <v>2021</v>
      </c>
      <c r="B4" s="11">
        <v>1</v>
      </c>
      <c r="C4" s="7">
        <v>44377</v>
      </c>
      <c r="D4" s="11">
        <v>2300000</v>
      </c>
      <c r="E4" s="11">
        <v>2.2999999999999998</v>
      </c>
      <c r="F4" s="11">
        <v>10100000</v>
      </c>
      <c r="G4" s="11">
        <v>10.1</v>
      </c>
      <c r="H4" s="27">
        <v>-30.3</v>
      </c>
      <c r="I4" s="27" t="s">
        <v>39</v>
      </c>
      <c r="J4" s="6" t="s">
        <v>40</v>
      </c>
    </row>
    <row r="5" spans="1:10">
      <c r="A5">
        <v>2021</v>
      </c>
      <c r="B5">
        <v>2</v>
      </c>
      <c r="C5" s="1">
        <v>44469</v>
      </c>
      <c r="D5">
        <v>3300000</v>
      </c>
      <c r="E5">
        <v>3.3</v>
      </c>
      <c r="F5">
        <v>13400000</v>
      </c>
      <c r="G5">
        <v>13.4</v>
      </c>
      <c r="H5" s="28">
        <v>43.48</v>
      </c>
      <c r="I5" s="28" t="s">
        <v>39</v>
      </c>
      <c r="J5" s="20" t="s">
        <v>40</v>
      </c>
    </row>
    <row r="6" spans="1:10">
      <c r="A6" s="11">
        <v>2021</v>
      </c>
      <c r="B6" s="11">
        <v>3</v>
      </c>
      <c r="C6" s="7">
        <v>44561</v>
      </c>
      <c r="D6" s="11">
        <v>3900000</v>
      </c>
      <c r="E6" s="11">
        <v>3.9</v>
      </c>
      <c r="F6" s="11">
        <v>17300000</v>
      </c>
      <c r="G6" s="11">
        <v>17.3</v>
      </c>
      <c r="H6" s="27">
        <v>18.18</v>
      </c>
      <c r="I6" s="27">
        <v>-13.33</v>
      </c>
      <c r="J6" s="6" t="s">
        <v>41</v>
      </c>
    </row>
    <row r="7" spans="1:10">
      <c r="A7">
        <v>2021</v>
      </c>
      <c r="B7">
        <v>4</v>
      </c>
      <c r="C7" s="1">
        <v>44651</v>
      </c>
      <c r="D7">
        <v>2000000</v>
      </c>
      <c r="E7">
        <v>2</v>
      </c>
      <c r="F7">
        <v>19300000</v>
      </c>
      <c r="G7">
        <v>19.3</v>
      </c>
      <c r="H7" s="28">
        <v>-48.72</v>
      </c>
      <c r="I7" s="28">
        <v>-39.39</v>
      </c>
      <c r="J7" s="20" t="s">
        <v>41</v>
      </c>
    </row>
    <row r="8" spans="1:10">
      <c r="A8" s="11">
        <v>2022</v>
      </c>
      <c r="B8" s="11">
        <v>1</v>
      </c>
      <c r="C8" s="7">
        <v>44742</v>
      </c>
      <c r="D8" s="11">
        <v>2400000</v>
      </c>
      <c r="E8" s="11">
        <v>2.4</v>
      </c>
      <c r="F8" s="11">
        <v>21700000</v>
      </c>
      <c r="G8" s="11">
        <v>21.7</v>
      </c>
      <c r="H8" s="27">
        <v>20</v>
      </c>
      <c r="I8" s="27">
        <v>4.3499999999999996</v>
      </c>
      <c r="J8" s="6" t="s">
        <v>42</v>
      </c>
    </row>
    <row r="9" spans="1:10">
      <c r="A9">
        <v>2022</v>
      </c>
      <c r="B9">
        <v>2</v>
      </c>
      <c r="C9" s="1">
        <v>44834</v>
      </c>
      <c r="D9">
        <v>3300000</v>
      </c>
      <c r="E9">
        <v>3.3</v>
      </c>
      <c r="F9">
        <v>25000000</v>
      </c>
      <c r="G9">
        <v>25</v>
      </c>
      <c r="H9" s="28">
        <v>37.5</v>
      </c>
      <c r="I9" s="28">
        <v>0</v>
      </c>
      <c r="J9" s="20" t="s">
        <v>43</v>
      </c>
    </row>
    <row r="10" spans="1:10">
      <c r="A10" s="11">
        <v>2022</v>
      </c>
      <c r="B10" s="11">
        <v>3</v>
      </c>
      <c r="C10" s="7">
        <v>44926</v>
      </c>
      <c r="D10" s="11">
        <v>7100000</v>
      </c>
      <c r="E10" s="11">
        <v>7.1</v>
      </c>
      <c r="F10" s="11">
        <v>32100000</v>
      </c>
      <c r="G10" s="11">
        <v>32.1</v>
      </c>
      <c r="H10" s="27">
        <v>115.15</v>
      </c>
      <c r="I10" s="27">
        <v>82.05</v>
      </c>
      <c r="J10" s="6" t="s">
        <v>44</v>
      </c>
    </row>
    <row r="11" spans="1:10">
      <c r="A11">
        <v>2022</v>
      </c>
      <c r="B11">
        <v>4</v>
      </c>
      <c r="C11" s="1">
        <v>45016</v>
      </c>
      <c r="D11">
        <v>6300000</v>
      </c>
      <c r="E11">
        <v>6.3</v>
      </c>
      <c r="F11">
        <v>38400000</v>
      </c>
      <c r="G11">
        <v>38.4</v>
      </c>
      <c r="H11" s="28">
        <v>-11.27</v>
      </c>
      <c r="I11" s="28">
        <v>215</v>
      </c>
      <c r="J11" s="20" t="s">
        <v>44</v>
      </c>
    </row>
    <row r="12" spans="1:10">
      <c r="A12" s="11">
        <v>2023</v>
      </c>
      <c r="B12" s="11">
        <v>1</v>
      </c>
      <c r="C12" s="7">
        <v>45107</v>
      </c>
      <c r="D12" s="11">
        <v>3300000</v>
      </c>
      <c r="E12" s="11">
        <v>3.3</v>
      </c>
      <c r="F12" s="11">
        <v>41700000</v>
      </c>
      <c r="G12" s="11">
        <v>41.7</v>
      </c>
      <c r="H12" s="27">
        <v>-47.62</v>
      </c>
      <c r="I12" s="27">
        <v>37.5</v>
      </c>
      <c r="J12" s="6" t="s">
        <v>44</v>
      </c>
    </row>
    <row r="13" spans="1:10">
      <c r="A13">
        <v>2023</v>
      </c>
      <c r="B13">
        <v>2</v>
      </c>
      <c r="C13" s="1">
        <v>45199</v>
      </c>
      <c r="D13">
        <v>4900000</v>
      </c>
      <c r="E13">
        <v>4.9000000000000004</v>
      </c>
      <c r="F13">
        <v>46600000</v>
      </c>
      <c r="G13">
        <v>46.6</v>
      </c>
      <c r="H13" s="28">
        <v>48.48</v>
      </c>
      <c r="I13" s="28">
        <v>48.48</v>
      </c>
      <c r="J13" s="20" t="s">
        <v>44</v>
      </c>
    </row>
    <row r="14" spans="1:10">
      <c r="A14" s="11">
        <v>2023</v>
      </c>
      <c r="B14" s="11">
        <v>3</v>
      </c>
      <c r="C14" s="7">
        <v>45291</v>
      </c>
      <c r="D14" s="11">
        <v>8200000</v>
      </c>
      <c r="E14" s="11">
        <v>8.1999999999999993</v>
      </c>
      <c r="F14" s="11">
        <v>54800000</v>
      </c>
      <c r="G14" s="11">
        <v>54.8</v>
      </c>
      <c r="H14" s="27">
        <v>67.349999999999994</v>
      </c>
      <c r="I14" s="27">
        <v>15.49</v>
      </c>
      <c r="J14" s="6" t="s">
        <v>44</v>
      </c>
    </row>
    <row r="15" spans="1:10">
      <c r="A15">
        <v>2023</v>
      </c>
      <c r="B15">
        <v>4</v>
      </c>
      <c r="C15" s="1">
        <v>45382</v>
      </c>
      <c r="D15">
        <v>4500000</v>
      </c>
      <c r="E15">
        <v>4.5</v>
      </c>
      <c r="F15">
        <v>59300000</v>
      </c>
      <c r="G15">
        <v>59.3</v>
      </c>
      <c r="H15" s="28">
        <v>-45.12</v>
      </c>
      <c r="I15" s="28">
        <v>-28.57</v>
      </c>
      <c r="J15" s="20" t="s">
        <v>41</v>
      </c>
    </row>
    <row r="16" spans="1:10">
      <c r="A16" s="11">
        <v>2024</v>
      </c>
      <c r="B16" s="11">
        <v>1</v>
      </c>
      <c r="C16" s="7">
        <v>45473</v>
      </c>
      <c r="D16" s="11">
        <v>2400000</v>
      </c>
      <c r="E16" s="11">
        <v>2.4</v>
      </c>
      <c r="F16" s="11">
        <v>61700000</v>
      </c>
      <c r="G16" s="11">
        <v>61.7</v>
      </c>
      <c r="H16" s="27">
        <v>-46.67</v>
      </c>
      <c r="I16" s="27">
        <v>-27.27</v>
      </c>
      <c r="J16" s="6" t="s">
        <v>41</v>
      </c>
    </row>
    <row r="17" spans="1:10">
      <c r="A17">
        <v>2024</v>
      </c>
      <c r="B17">
        <v>2</v>
      </c>
      <c r="C17" s="1">
        <v>45565</v>
      </c>
      <c r="D17">
        <v>3800000</v>
      </c>
      <c r="E17">
        <v>3.8</v>
      </c>
      <c r="F17">
        <v>65500000</v>
      </c>
      <c r="G17">
        <v>65.5</v>
      </c>
      <c r="H17" s="28">
        <v>58.33</v>
      </c>
      <c r="I17" s="28">
        <v>-22.45</v>
      </c>
      <c r="J17" s="20" t="s">
        <v>41</v>
      </c>
    </row>
    <row r="18" spans="1:10">
      <c r="A18" s="11">
        <v>2024</v>
      </c>
      <c r="B18" s="11">
        <v>3</v>
      </c>
      <c r="C18" s="7">
        <v>45657</v>
      </c>
      <c r="D18" s="11">
        <v>9500000</v>
      </c>
      <c r="E18" s="11">
        <v>9.5</v>
      </c>
      <c r="F18" s="11">
        <v>75000000</v>
      </c>
      <c r="G18" s="11">
        <v>75</v>
      </c>
      <c r="H18" s="27">
        <v>150</v>
      </c>
      <c r="I18" s="27">
        <v>15.85</v>
      </c>
      <c r="J18" s="6" t="s">
        <v>44</v>
      </c>
    </row>
    <row r="19" spans="1:10">
      <c r="A19">
        <v>2024</v>
      </c>
      <c r="B19">
        <v>4</v>
      </c>
      <c r="C19" s="1">
        <v>45747</v>
      </c>
      <c r="D19">
        <v>2800000</v>
      </c>
      <c r="E19">
        <v>2.8</v>
      </c>
      <c r="F19">
        <v>77800000</v>
      </c>
      <c r="G19">
        <v>77.8</v>
      </c>
      <c r="H19" s="28">
        <v>-70.53</v>
      </c>
      <c r="I19" s="28">
        <v>-37.78</v>
      </c>
      <c r="J19" s="20" t="s">
        <v>41</v>
      </c>
    </row>
    <row r="20" spans="1:10">
      <c r="A20" s="11">
        <v>2025</v>
      </c>
      <c r="B20" s="11">
        <v>1</v>
      </c>
      <c r="C20" s="7">
        <v>45838</v>
      </c>
      <c r="D20" s="11">
        <v>2500000</v>
      </c>
      <c r="E20" s="11">
        <v>2.5</v>
      </c>
      <c r="F20" s="11">
        <v>80300000</v>
      </c>
      <c r="G20" s="11">
        <v>80.3</v>
      </c>
      <c r="H20" s="27">
        <v>-10.71</v>
      </c>
      <c r="I20" s="27">
        <v>4.17</v>
      </c>
      <c r="J20" s="6" t="s">
        <v>42</v>
      </c>
    </row>
    <row r="21" spans="1:10">
      <c r="A21">
        <v>2025</v>
      </c>
      <c r="B21">
        <v>2</v>
      </c>
      <c r="C21" s="1">
        <v>45930</v>
      </c>
      <c r="D21">
        <v>4000000</v>
      </c>
      <c r="E21">
        <v>4</v>
      </c>
      <c r="F21">
        <v>84300000</v>
      </c>
      <c r="G21">
        <v>84.3</v>
      </c>
      <c r="H21" s="28">
        <v>60</v>
      </c>
      <c r="I21" s="28">
        <v>5.26</v>
      </c>
      <c r="J21" s="20" t="s">
        <v>42</v>
      </c>
    </row>
    <row r="22" spans="1:10">
      <c r="A22" s="11">
        <v>2025</v>
      </c>
      <c r="B22" s="11">
        <v>3</v>
      </c>
      <c r="C22" s="7">
        <v>46022</v>
      </c>
      <c r="D22" s="11">
        <v>7900000</v>
      </c>
      <c r="E22" s="11">
        <v>7.9</v>
      </c>
      <c r="F22" s="11">
        <v>92200000</v>
      </c>
      <c r="G22" s="11">
        <v>92.2</v>
      </c>
      <c r="H22" s="27">
        <v>97.5</v>
      </c>
      <c r="I22" s="27">
        <v>-16.84</v>
      </c>
      <c r="J22" s="6" t="s">
        <v>41</v>
      </c>
    </row>
    <row r="23" spans="1:10">
      <c r="A23">
        <v>2025</v>
      </c>
      <c r="B23">
        <v>4</v>
      </c>
      <c r="C23" s="1">
        <v>46112</v>
      </c>
      <c r="D23">
        <v>1500000</v>
      </c>
      <c r="E23">
        <v>1.5</v>
      </c>
      <c r="F23">
        <v>93700000</v>
      </c>
      <c r="G23">
        <v>93.7</v>
      </c>
      <c r="H23" s="28">
        <v>-81.010000000000005</v>
      </c>
      <c r="I23" s="28">
        <v>-46.43</v>
      </c>
      <c r="J23" s="20" t="s">
        <v>41</v>
      </c>
    </row>
    <row r="24" spans="1:10">
      <c r="A24" s="11">
        <v>2026</v>
      </c>
      <c r="B24" s="11">
        <v>1</v>
      </c>
      <c r="C24" s="7">
        <v>46203</v>
      </c>
      <c r="D24" s="11">
        <v>1600000</v>
      </c>
      <c r="E24" s="11">
        <v>1.6</v>
      </c>
      <c r="F24" s="11">
        <v>95300000</v>
      </c>
      <c r="G24" s="11">
        <v>95.3</v>
      </c>
      <c r="H24" s="27">
        <v>6.67</v>
      </c>
      <c r="I24" s="27">
        <v>-36</v>
      </c>
      <c r="J24" s="6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C6E9-E8EB-4BC7-BC83-53ADA8EEDF1F}">
  <dimension ref="A1:F5"/>
  <sheetViews>
    <sheetView tabSelected="1" workbookViewId="0">
      <selection activeCell="B3" sqref="B3"/>
    </sheetView>
  </sheetViews>
  <sheetFormatPr defaultRowHeight="15"/>
  <cols>
    <col min="1" max="1" width="16.7109375" bestFit="1" customWidth="1"/>
    <col min="3" max="3" width="16" bestFit="1" customWidth="1"/>
    <col min="4" max="4" width="19.42578125" bestFit="1" customWidth="1"/>
    <col min="5" max="5" width="16.5703125" bestFit="1" customWidth="1"/>
    <col min="6" max="6" width="22.28515625" bestFit="1" customWidth="1"/>
  </cols>
  <sheetData>
    <row r="1" spans="1:6" ht="31.5" customHeight="1">
      <c r="A1" s="32" t="s">
        <v>45</v>
      </c>
      <c r="B1" s="32"/>
      <c r="C1" s="32"/>
      <c r="D1" s="32"/>
      <c r="E1" s="32"/>
      <c r="F1" s="32"/>
    </row>
    <row r="2" spans="1:6">
      <c r="A2" s="22" t="s">
        <v>46</v>
      </c>
      <c r="B2" s="22" t="s">
        <v>47</v>
      </c>
      <c r="C2" s="22" t="s">
        <v>48</v>
      </c>
      <c r="D2" s="22" t="s">
        <v>49</v>
      </c>
      <c r="E2" s="22" t="s">
        <v>50</v>
      </c>
      <c r="F2" s="22" t="s">
        <v>51</v>
      </c>
    </row>
    <row r="3" spans="1:6">
      <c r="A3" t="s">
        <v>52</v>
      </c>
      <c r="B3" s="17">
        <f>AVERAGE('Console History'!H2:H5)</f>
        <v>6.2937500000000002</v>
      </c>
      <c r="C3" s="1">
        <v>44155</v>
      </c>
      <c r="D3">
        <f>EDATE(B3*12,0)</f>
        <v>75</v>
      </c>
      <c r="E3" t="s">
        <v>53</v>
      </c>
      <c r="F3" t="s">
        <v>54</v>
      </c>
    </row>
    <row r="4" spans="1:6">
      <c r="A4" t="s">
        <v>55</v>
      </c>
      <c r="B4" s="17">
        <f>_xlfn.XLOOKUP("PS4 -&gt; PS5",'Console History'!G2:G5,'Console History'!H2:H5)</f>
        <v>6.9916666666666663</v>
      </c>
      <c r="C4" s="1">
        <v>44155</v>
      </c>
      <c r="D4">
        <f>EDATE(B4*12,0)</f>
        <v>83</v>
      </c>
      <c r="E4" t="s">
        <v>56</v>
      </c>
      <c r="F4" t="s">
        <v>57</v>
      </c>
    </row>
    <row r="5" spans="1:6">
      <c r="A5" t="s">
        <v>58</v>
      </c>
      <c r="B5">
        <v>8</v>
      </c>
      <c r="C5" s="1">
        <v>44155</v>
      </c>
      <c r="D5">
        <f>EDATE(B5*12,0)</f>
        <v>96</v>
      </c>
      <c r="E5" t="s">
        <v>59</v>
      </c>
      <c r="F5" t="s">
        <v>60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6C4E-89D4-4975-BABA-C9E7F4FBC069}">
  <dimension ref="A1:B9"/>
  <sheetViews>
    <sheetView workbookViewId="0">
      <selection activeCell="B8" sqref="B8"/>
    </sheetView>
  </sheetViews>
  <sheetFormatPr defaultRowHeight="15"/>
  <cols>
    <col min="1" max="1" width="18.140625" bestFit="1" customWidth="1"/>
    <col min="2" max="2" width="9.85546875" bestFit="1" customWidth="1"/>
  </cols>
  <sheetData>
    <row r="1" spans="1:2">
      <c r="A1" s="5" t="s">
        <v>61</v>
      </c>
      <c r="B1" s="5" t="s">
        <v>62</v>
      </c>
    </row>
    <row r="2" spans="1:2">
      <c r="A2" s="11" t="s">
        <v>63</v>
      </c>
      <c r="B2" s="11">
        <f>SUM('PS5 Quarterly Sales'!D2:D24)</f>
        <v>95300000</v>
      </c>
    </row>
    <row r="3" spans="1:2">
      <c r="A3" t="s">
        <v>64</v>
      </c>
      <c r="B3">
        <f>MAX('PS5 Quarterly Sales'!D2:D24)</f>
        <v>9500000</v>
      </c>
    </row>
    <row r="4" spans="1:2">
      <c r="A4" s="11" t="s">
        <v>65</v>
      </c>
      <c r="B4" s="11">
        <f>_xlfn.XLOOKUP(B3,'PS5 Quarterly Sales'!D2:D24,'PS5 Quarterly Sales'!A2:A24)</f>
        <v>2024</v>
      </c>
    </row>
    <row r="5" spans="1:2">
      <c r="A5" t="s">
        <v>66</v>
      </c>
      <c r="B5">
        <f>_xlfn.XLOOKUP(B3,'PS5 Quarterly Sales'!D2:D24,'PS5 Quarterly Sales'!B2:B24)</f>
        <v>3</v>
      </c>
    </row>
    <row r="6" spans="1:2">
      <c r="A6" s="11" t="s">
        <v>67</v>
      </c>
      <c r="B6" s="21">
        <f>AVERAGE('Console History'!H2:H6)</f>
        <v>6.2937500000000002</v>
      </c>
    </row>
    <row r="7" spans="1:2">
      <c r="A7" t="s">
        <v>68</v>
      </c>
      <c r="B7" s="17">
        <f>_xlfn.XLOOKUP("PS5",'Pricing Analysis'!A2:A6,'Pricing Analysis'!E2:E6)</f>
        <v>621.95000000000005</v>
      </c>
    </row>
    <row r="8" spans="1:2">
      <c r="A8" s="11" t="s">
        <v>69</v>
      </c>
      <c r="B8" s="11">
        <f>MAX('Console History'!D2:D6)</f>
        <v>160</v>
      </c>
    </row>
    <row r="9" spans="1:2">
      <c r="A9" t="s">
        <v>70</v>
      </c>
      <c r="B9" s="20" t="str">
        <f>_xlfn.XLOOKUP(B8,'Console History'!D2:D6,'Console History'!A2:A6)</f>
        <v>PS2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2822-2456-43C1-B776-032111D10128}">
  <dimension ref="A1:B10"/>
  <sheetViews>
    <sheetView workbookViewId="0">
      <selection activeCell="E8" sqref="E8"/>
    </sheetView>
  </sheetViews>
  <sheetFormatPr defaultRowHeight="15"/>
  <cols>
    <col min="1" max="1" width="13.5703125" bestFit="1" customWidth="1"/>
    <col min="2" max="2" width="25" bestFit="1" customWidth="1"/>
  </cols>
  <sheetData>
    <row r="1" spans="1:2">
      <c r="A1" s="24" t="s">
        <v>4</v>
      </c>
      <c r="B1" s="26">
        <v>3</v>
      </c>
    </row>
    <row r="3" spans="1:2">
      <c r="A3" s="24" t="s">
        <v>0</v>
      </c>
      <c r="B3" t="s">
        <v>5</v>
      </c>
    </row>
    <row r="4" spans="1:2">
      <c r="A4">
        <v>2020</v>
      </c>
      <c r="B4" s="25">
        <v>4.5</v>
      </c>
    </row>
    <row r="5" spans="1:2">
      <c r="A5">
        <v>2021</v>
      </c>
      <c r="B5" s="25">
        <v>3.9</v>
      </c>
    </row>
    <row r="6" spans="1:2">
      <c r="A6">
        <v>2022</v>
      </c>
      <c r="B6" s="25">
        <v>7.1</v>
      </c>
    </row>
    <row r="7" spans="1:2">
      <c r="A7">
        <v>2023</v>
      </c>
      <c r="B7" s="25">
        <v>8.1999999999999993</v>
      </c>
    </row>
    <row r="8" spans="1:2">
      <c r="A8">
        <v>2024</v>
      </c>
      <c r="B8" s="25">
        <v>9.5</v>
      </c>
    </row>
    <row r="9" spans="1:2">
      <c r="A9">
        <v>2025</v>
      </c>
      <c r="B9" s="25">
        <v>7.9</v>
      </c>
    </row>
    <row r="10" spans="1:2">
      <c r="A10" t="s">
        <v>6</v>
      </c>
      <c r="B10" s="25">
        <v>41.1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64FA-0F87-4CDB-8026-E5146C2F1110}">
  <dimension ref="A1:C6"/>
  <sheetViews>
    <sheetView workbookViewId="0">
      <selection activeCell="B2" sqref="B2"/>
    </sheetView>
  </sheetViews>
  <sheetFormatPr defaultRowHeight="15"/>
  <cols>
    <col min="1" max="1" width="18" bestFit="1" customWidth="1"/>
    <col min="2" max="2" width="33.28515625" bestFit="1" customWidth="1"/>
    <col min="3" max="3" width="64.28515625" bestFit="1" customWidth="1"/>
  </cols>
  <sheetData>
    <row r="1" spans="1:3">
      <c r="A1" s="5" t="s">
        <v>71</v>
      </c>
      <c r="B1" s="5" t="s">
        <v>72</v>
      </c>
      <c r="C1" s="5" t="s">
        <v>73</v>
      </c>
    </row>
    <row r="2" spans="1:3">
      <c r="A2" s="33" t="s">
        <v>74</v>
      </c>
      <c r="B2" s="33" t="s">
        <v>75</v>
      </c>
      <c r="C2" s="31" t="s">
        <v>76</v>
      </c>
    </row>
    <row r="3" spans="1:3" ht="30.75">
      <c r="A3" s="33" t="s">
        <v>77</v>
      </c>
      <c r="B3" s="33" t="s">
        <v>78</v>
      </c>
      <c r="C3" s="31" t="s">
        <v>79</v>
      </c>
    </row>
    <row r="4" spans="1:3" ht="60.75">
      <c r="A4" s="33" t="s">
        <v>80</v>
      </c>
      <c r="B4" s="33" t="s">
        <v>81</v>
      </c>
      <c r="C4" s="31" t="s">
        <v>82</v>
      </c>
    </row>
    <row r="5" spans="1:3" ht="30.75">
      <c r="A5" s="33" t="s">
        <v>83</v>
      </c>
      <c r="B5" s="33" t="s">
        <v>84</v>
      </c>
      <c r="C5" s="31" t="s">
        <v>85</v>
      </c>
    </row>
    <row r="6" spans="1:3" ht="30.75">
      <c r="A6" s="33" t="s">
        <v>86</v>
      </c>
      <c r="B6" s="33" t="s">
        <v>87</v>
      </c>
      <c r="C6" s="31" t="s">
        <v>88</v>
      </c>
    </row>
  </sheetData>
  <hyperlinks>
    <hyperlink ref="C2" r:id="rId1" xr:uid="{BC5BC9C0-C0AF-4E19-91C8-C1EC879C5E01}"/>
    <hyperlink ref="C3" r:id="rId2" xr:uid="{231C021F-AA38-4D98-A850-4F1D8C0A904D}"/>
    <hyperlink ref="C4" r:id="rId3" xr:uid="{953EDE1C-CD22-437D-9101-4870D6BC4D4E}"/>
    <hyperlink ref="C5" r:id="rId4" xr:uid="{153E6180-BC00-4A38-9B1F-1B4EA50DB4FF}"/>
    <hyperlink ref="C6" r:id="rId5" xr:uid="{AA25E0BF-D416-4454-B0C7-73FE36DCC1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2026-10-18T23:37:32Z</dcterms:created>
  <dcterms:modified xsi:type="dcterms:W3CDTF">2026-10-27T02:17:01Z</dcterms:modified>
  <cp:category/>
  <cp:contentStatus/>
</cp:coreProperties>
</file>